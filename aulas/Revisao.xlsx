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cuments\"/>
    </mc:Choice>
  </mc:AlternateContent>
  <xr:revisionPtr revIDLastSave="0" documentId="13_ncr:1_{9B0FA89A-3874-4CDE-991A-9F0787E85BD8}" xr6:coauthVersionLast="47" xr6:coauthVersionMax="47" xr10:uidLastSave="{00000000-0000-0000-0000-000000000000}"/>
  <bookViews>
    <workbookView xWindow="-120" yWindow="-120" windowWidth="29040" windowHeight="15720" xr2:uid="{4A51C4F1-4871-4C02-90B9-363160D808A8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3" i="1" l="1"/>
  <c r="H12" i="1"/>
  <c r="G12" i="1"/>
  <c r="F12" i="1"/>
  <c r="I2" i="1"/>
  <c r="H2" i="1"/>
  <c r="G3" i="1"/>
  <c r="F2" i="1"/>
  <c r="D19" i="1"/>
  <c r="E19" i="1"/>
  <c r="C19" i="1"/>
  <c r="I4" i="1"/>
  <c r="I5" i="1"/>
  <c r="I6" i="1"/>
  <c r="I7" i="1"/>
  <c r="H4" i="1"/>
  <c r="H5" i="1"/>
  <c r="H6" i="1"/>
  <c r="H7" i="1"/>
  <c r="G4" i="1"/>
  <c r="G5" i="1"/>
  <c r="G6" i="1"/>
  <c r="G7" i="1"/>
  <c r="F3" i="1"/>
  <c r="F9" i="1" s="1"/>
  <c r="F4" i="1"/>
  <c r="F5" i="1"/>
  <c r="F6" i="1"/>
  <c r="F7" i="1"/>
  <c r="G2" i="1"/>
  <c r="D9" i="1"/>
  <c r="E9" i="1"/>
  <c r="C9" i="1"/>
  <c r="I14" i="1"/>
  <c r="I15" i="1"/>
  <c r="I16" i="1"/>
  <c r="I17" i="1"/>
  <c r="H13" i="1"/>
  <c r="H14" i="1"/>
  <c r="H15" i="1"/>
  <c r="H16" i="1"/>
  <c r="H17" i="1"/>
  <c r="G13" i="1"/>
  <c r="G14" i="1"/>
  <c r="G15" i="1"/>
  <c r="G16" i="1"/>
  <c r="G17" i="1"/>
  <c r="F13" i="1"/>
  <c r="F14" i="1"/>
  <c r="F15" i="1"/>
  <c r="F16" i="1"/>
  <c r="F17" i="1"/>
  <c r="F19" i="1" l="1"/>
  <c r="G19" i="1"/>
  <c r="H3" i="1"/>
  <c r="I3" i="1" s="1"/>
  <c r="H9" i="1"/>
  <c r="G9" i="1"/>
  <c r="I9" i="1" l="1"/>
  <c r="H19" i="1" l="1"/>
  <c r="I12" i="1"/>
  <c r="I19" i="1" s="1"/>
  <c r="C21" i="1" l="1"/>
</calcChain>
</file>

<file path=xl/sharedStrings.xml><?xml version="1.0" encoding="utf-8"?>
<sst xmlns="http://schemas.openxmlformats.org/spreadsheetml/2006/main" count="33" uniqueCount="21">
  <si>
    <t>codigo</t>
  </si>
  <si>
    <t>produto</t>
  </si>
  <si>
    <t>porca</t>
  </si>
  <si>
    <t>parafuso</t>
  </si>
  <si>
    <t>arruela</t>
  </si>
  <si>
    <t>prego</t>
  </si>
  <si>
    <t>alicate</t>
  </si>
  <si>
    <t>martelo</t>
  </si>
  <si>
    <t>Jan</t>
  </si>
  <si>
    <t>Fev</t>
  </si>
  <si>
    <t>Mar</t>
  </si>
  <si>
    <t>Maximo</t>
  </si>
  <si>
    <t>minimo</t>
  </si>
  <si>
    <t>media</t>
  </si>
  <si>
    <t>totais</t>
  </si>
  <si>
    <t>total 1° Trim.</t>
  </si>
  <si>
    <t>total do semestre</t>
  </si>
  <si>
    <t>total 2° Trim.</t>
  </si>
  <si>
    <t>Abr</t>
  </si>
  <si>
    <t>Mai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</si>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</sst>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3" fontId="0" fillId="0" borderId="1" xfId="1" applyFont="1" applyBorder="1"/>
    <xf numFmtId="43" fontId="0" fillId="0" borderId="1" xfId="1" applyFont="1" applyBorder="1" applyAlignment="1">
      <alignment horizontal="center"/>
    </xf>
    <xf numFmtId="43" fontId="0" fillId="0" borderId="1" xfId="0" applyNumberFormat="1" applyBorder="1"/>
    <xf numFmtId="0" fontId="0" fillId="0" borderId="0" xfId="0" applyBorder="1"/>
    <xf numFmtId="0" fontId="0" fillId="0" borderId="1" xfId="0" applyBorder="1" applyAlignment="1">
      <alignment horizont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D666-E575-4FAA-AD0F-7369E81D31E6}">
  <dimension ref="A1:I21"/>
  <sheetViews>
    <sheetView tabSelected="1" zoomScale="124" zoomScaleNormal="124" workbookViewId="0">
      <selection activeCell="E19" sqref="E19"/>
    </sheetView>
  </sheetViews>
  <sheetFormatPr defaultRowHeight="15" x14ac:dyDescent="0.25"/>
  <cols>
    <col min="3" max="3" width="13.42578125" bestFit="1" customWidth="1"/>
    <col min="4" max="5" width="10.7109375" bestFit="1" customWidth="1"/>
    <col min="6" max="6" width="12.85546875" bestFit="1" customWidth="1"/>
    <col min="7" max="7" width="11.7109375" bestFit="1" customWidth="1"/>
    <col min="8" max="9" width="10.7109375" bestFit="1" customWidth="1"/>
  </cols>
  <sheetData>
    <row r="1" spans="1:9" ht="15" customHeight="1" x14ac:dyDescent="0.25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15</v>
      </c>
      <c r="G1" s="1" t="s">
        <v>11</v>
      </c>
      <c r="H1" s="1" t="s">
        <v>12</v>
      </c>
      <c r="I1" s="1" t="s">
        <v>13</v>
      </c>
    </row>
    <row r="2" spans="1:9" ht="15" customHeight="1" x14ac:dyDescent="0.25">
      <c r="A2" s="1">
        <v>1</v>
      </c>
      <c r="B2" s="1" t="s">
        <v>2</v>
      </c>
      <c r="C2" s="5">
        <v>5500</v>
      </c>
      <c r="D2" s="5">
        <v>5040</v>
      </c>
      <c r="E2" s="5">
        <v>5696</v>
      </c>
      <c r="F2" s="6">
        <f>SUM(C2:E2)</f>
        <v>16236</v>
      </c>
      <c r="G2" s="6">
        <f>MAX(C2:F2)</f>
        <v>16236</v>
      </c>
      <c r="H2" s="6">
        <f>MIN(C2:G2)</f>
        <v>5040</v>
      </c>
      <c r="I2" s="6">
        <f>AVERAGE(C2:H2)</f>
        <v>8958</v>
      </c>
    </row>
    <row r="3" spans="1:9" ht="15" customHeight="1" x14ac:dyDescent="0.25">
      <c r="A3" s="1">
        <v>2</v>
      </c>
      <c r="B3" s="1" t="s">
        <v>3</v>
      </c>
      <c r="C3" s="5">
        <v>6250</v>
      </c>
      <c r="D3" s="5">
        <v>7000</v>
      </c>
      <c r="E3" s="5">
        <v>7910</v>
      </c>
      <c r="F3" s="6">
        <f t="shared" ref="F3:F7" si="0">SUM(C3:E3)</f>
        <v>21160</v>
      </c>
      <c r="G3" s="6">
        <f>MAX(C3:F3)</f>
        <v>21160</v>
      </c>
      <c r="H3" s="6">
        <f t="shared" ref="H3:H7" si="1">MIN(C3:G3)</f>
        <v>6250</v>
      </c>
      <c r="I3" s="6">
        <f t="shared" ref="I3:I7" si="2">AVERAGE(C3:H3)</f>
        <v>11621.666666666666</v>
      </c>
    </row>
    <row r="4" spans="1:9" ht="15" customHeight="1" x14ac:dyDescent="0.25">
      <c r="A4" s="1">
        <v>3</v>
      </c>
      <c r="B4" s="1" t="s">
        <v>4</v>
      </c>
      <c r="C4" s="5">
        <v>3300</v>
      </c>
      <c r="D4" s="5">
        <v>3696</v>
      </c>
      <c r="E4" s="5">
        <v>4176</v>
      </c>
      <c r="F4" s="6">
        <f t="shared" si="0"/>
        <v>11172</v>
      </c>
      <c r="G4" s="6">
        <f t="shared" ref="G3:G7" si="3">MAX(C4:F4)</f>
        <v>11172</v>
      </c>
      <c r="H4" s="6">
        <f t="shared" si="1"/>
        <v>3300</v>
      </c>
      <c r="I4" s="6">
        <f t="shared" si="2"/>
        <v>6136</v>
      </c>
    </row>
    <row r="5" spans="1:9" ht="15" customHeight="1" x14ac:dyDescent="0.25">
      <c r="A5" s="1">
        <v>4</v>
      </c>
      <c r="B5" s="1" t="s">
        <v>5</v>
      </c>
      <c r="C5" s="5">
        <v>8000</v>
      </c>
      <c r="D5" s="5">
        <v>8690</v>
      </c>
      <c r="E5" s="5">
        <v>10125</v>
      </c>
      <c r="F5" s="6">
        <f t="shared" si="0"/>
        <v>26815</v>
      </c>
      <c r="G5" s="6">
        <f t="shared" si="3"/>
        <v>26815</v>
      </c>
      <c r="H5" s="6">
        <f t="shared" si="1"/>
        <v>8000</v>
      </c>
      <c r="I5" s="6">
        <f t="shared" si="2"/>
        <v>14740.833333333334</v>
      </c>
    </row>
    <row r="6" spans="1:9" ht="15" customHeight="1" x14ac:dyDescent="0.25">
      <c r="A6" s="1">
        <v>5</v>
      </c>
      <c r="B6" s="1" t="s">
        <v>6</v>
      </c>
      <c r="C6" s="5">
        <v>4557</v>
      </c>
      <c r="D6" s="5">
        <v>5104</v>
      </c>
      <c r="E6" s="5">
        <v>5676</v>
      </c>
      <c r="F6" s="6">
        <f t="shared" si="0"/>
        <v>15337</v>
      </c>
      <c r="G6" s="6">
        <f t="shared" si="3"/>
        <v>15337</v>
      </c>
      <c r="H6" s="6">
        <f t="shared" si="1"/>
        <v>4557</v>
      </c>
      <c r="I6" s="6">
        <f t="shared" si="2"/>
        <v>8428</v>
      </c>
    </row>
    <row r="7" spans="1:9" ht="15" customHeight="1" x14ac:dyDescent="0.25">
      <c r="A7" s="1">
        <v>6</v>
      </c>
      <c r="B7" s="1" t="s">
        <v>7</v>
      </c>
      <c r="C7" s="5">
        <v>3260</v>
      </c>
      <c r="D7" s="5">
        <v>3640</v>
      </c>
      <c r="E7" s="5">
        <v>4113</v>
      </c>
      <c r="F7" s="6">
        <f t="shared" si="0"/>
        <v>11013</v>
      </c>
      <c r="G7" s="6">
        <f t="shared" si="3"/>
        <v>11013</v>
      </c>
      <c r="H7" s="6">
        <f t="shared" si="1"/>
        <v>3260</v>
      </c>
      <c r="I7" s="6">
        <f t="shared" si="2"/>
        <v>6049.833333333333</v>
      </c>
    </row>
    <row r="8" spans="1:9" ht="15" customHeight="1" x14ac:dyDescent="0.25"/>
    <row r="9" spans="1:9" ht="15" customHeight="1" x14ac:dyDescent="0.25">
      <c r="A9" s="8" t="s">
        <v>14</v>
      </c>
      <c r="B9" s="8"/>
      <c r="C9" s="6">
        <f>SUM(C2:C8)</f>
        <v>30867</v>
      </c>
      <c r="D9" s="6">
        <f>SUM(D2:D8)</f>
        <v>33170</v>
      </c>
      <c r="E9" s="6">
        <f t="shared" ref="D9:I9" si="4">SUM(E2:E8)</f>
        <v>37696</v>
      </c>
      <c r="F9" s="6">
        <f t="shared" si="4"/>
        <v>101733</v>
      </c>
      <c r="G9" s="6">
        <f t="shared" si="4"/>
        <v>101733</v>
      </c>
      <c r="H9" s="6">
        <f t="shared" si="4"/>
        <v>30407</v>
      </c>
      <c r="I9" s="6">
        <f t="shared" si="4"/>
        <v>55934.333333333336</v>
      </c>
    </row>
    <row r="10" spans="1:9" ht="15" customHeight="1" x14ac:dyDescent="0.25"/>
    <row r="11" spans="1:9" ht="15" customHeight="1" x14ac:dyDescent="0.25">
      <c r="A11" s="1" t="s">
        <v>0</v>
      </c>
      <c r="B11" s="1" t="s">
        <v>1</v>
      </c>
      <c r="C11" s="1" t="s">
        <v>18</v>
      </c>
      <c r="D11" s="1" t="s">
        <v>19</v>
      </c>
      <c r="E11" s="1" t="s">
        <v>20</v>
      </c>
      <c r="F11" s="1" t="s">
        <v>17</v>
      </c>
      <c r="G11" s="1" t="s">
        <v>11</v>
      </c>
      <c r="H11" s="1" t="s">
        <v>12</v>
      </c>
      <c r="I11" s="1" t="s">
        <v>13</v>
      </c>
    </row>
    <row r="12" spans="1:9" ht="15" customHeight="1" x14ac:dyDescent="0.25">
      <c r="A12" s="1">
        <v>1</v>
      </c>
      <c r="B12" s="1" t="s">
        <v>2</v>
      </c>
      <c r="C12" s="4">
        <v>6265</v>
      </c>
      <c r="D12" s="4">
        <v>6954</v>
      </c>
      <c r="E12" s="4">
        <v>7858</v>
      </c>
      <c r="F12" s="4">
        <f>SUM(C12:E12)</f>
        <v>21077</v>
      </c>
      <c r="G12" s="4">
        <f>MAX(C12:F12)</f>
        <v>21077</v>
      </c>
      <c r="H12" s="4">
        <f>MIN(C12:G12)</f>
        <v>6265</v>
      </c>
      <c r="I12" s="4">
        <f>AVERAGE(C12:H12)</f>
        <v>11582.666666666666</v>
      </c>
    </row>
    <row r="13" spans="1:9" ht="15" customHeight="1" x14ac:dyDescent="0.25">
      <c r="A13" s="1">
        <v>2</v>
      </c>
      <c r="B13" s="1" t="s">
        <v>3</v>
      </c>
      <c r="C13" s="4">
        <v>8701</v>
      </c>
      <c r="D13" s="4">
        <v>9658</v>
      </c>
      <c r="E13" s="4">
        <v>10197</v>
      </c>
      <c r="F13" s="4">
        <f t="shared" ref="F13:F17" si="5">SUM(C13:E13)</f>
        <v>28556</v>
      </c>
      <c r="G13" s="4">
        <f t="shared" ref="G13:G17" si="6">MAX(C13:F13)</f>
        <v>28556</v>
      </c>
      <c r="H13" s="4">
        <f t="shared" ref="H13:H17" si="7">MIN(C13:G13)</f>
        <v>8701</v>
      </c>
      <c r="I13" s="4">
        <f>AVERAGE(C13:H13)</f>
        <v>15728.166666666666</v>
      </c>
    </row>
    <row r="14" spans="1:9" ht="15" customHeight="1" x14ac:dyDescent="0.25">
      <c r="A14" s="1">
        <v>3</v>
      </c>
      <c r="B14" s="1" t="s">
        <v>4</v>
      </c>
      <c r="C14" s="4">
        <v>4569</v>
      </c>
      <c r="D14" s="4">
        <v>5099</v>
      </c>
      <c r="E14" s="4">
        <v>5769</v>
      </c>
      <c r="F14" s="4">
        <f t="shared" si="5"/>
        <v>15437</v>
      </c>
      <c r="G14" s="4">
        <f t="shared" si="6"/>
        <v>15437</v>
      </c>
      <c r="H14" s="4">
        <f t="shared" si="7"/>
        <v>4569</v>
      </c>
      <c r="I14" s="4">
        <f t="shared" ref="I13:I17" si="8">AVERAGE(C14:H14)</f>
        <v>8480</v>
      </c>
    </row>
    <row r="15" spans="1:9" ht="15" customHeight="1" x14ac:dyDescent="0.25">
      <c r="A15" s="1">
        <v>4</v>
      </c>
      <c r="B15" s="1" t="s">
        <v>5</v>
      </c>
      <c r="C15" s="4">
        <v>12341</v>
      </c>
      <c r="D15" s="4">
        <v>12365</v>
      </c>
      <c r="E15" s="4">
        <v>13969</v>
      </c>
      <c r="F15" s="4">
        <f t="shared" si="5"/>
        <v>38675</v>
      </c>
      <c r="G15" s="4">
        <f t="shared" si="6"/>
        <v>38675</v>
      </c>
      <c r="H15" s="4">
        <f t="shared" si="7"/>
        <v>12341</v>
      </c>
      <c r="I15" s="4">
        <f t="shared" si="8"/>
        <v>21394.333333333332</v>
      </c>
    </row>
    <row r="16" spans="1:9" ht="15" customHeight="1" x14ac:dyDescent="0.25">
      <c r="A16" s="1">
        <v>5</v>
      </c>
      <c r="B16" s="1" t="s">
        <v>6</v>
      </c>
      <c r="C16" s="4">
        <v>6344</v>
      </c>
      <c r="D16" s="4">
        <v>7042</v>
      </c>
      <c r="E16" s="4">
        <v>7957</v>
      </c>
      <c r="F16" s="4">
        <f t="shared" si="5"/>
        <v>21343</v>
      </c>
      <c r="G16" s="4">
        <f t="shared" si="6"/>
        <v>21343</v>
      </c>
      <c r="H16" s="4">
        <f t="shared" si="7"/>
        <v>6344</v>
      </c>
      <c r="I16" s="4">
        <f t="shared" si="8"/>
        <v>11728.833333333334</v>
      </c>
    </row>
    <row r="17" spans="1:9" ht="15" customHeight="1" x14ac:dyDescent="0.25">
      <c r="A17" s="1">
        <v>6</v>
      </c>
      <c r="B17" s="1" t="s">
        <v>7</v>
      </c>
      <c r="C17" s="4">
        <v>4525</v>
      </c>
      <c r="D17" s="4">
        <v>4525</v>
      </c>
      <c r="E17" s="4">
        <v>5671</v>
      </c>
      <c r="F17" s="4">
        <f t="shared" si="5"/>
        <v>14721</v>
      </c>
      <c r="G17" s="4">
        <f t="shared" si="6"/>
        <v>14721</v>
      </c>
      <c r="H17" s="4">
        <f t="shared" si="7"/>
        <v>4525</v>
      </c>
      <c r="I17" s="4">
        <f t="shared" si="8"/>
        <v>8114.666666666667</v>
      </c>
    </row>
    <row r="18" spans="1:9" ht="15" customHeight="1" x14ac:dyDescent="0.25"/>
    <row r="19" spans="1:9" x14ac:dyDescent="0.25">
      <c r="A19" s="2" t="s">
        <v>14</v>
      </c>
      <c r="B19" s="2"/>
      <c r="C19" s="6">
        <f>SUM(C12:C18)</f>
        <v>42745</v>
      </c>
      <c r="D19" s="6">
        <f t="shared" ref="D19:I19" si="9">SUM(D12:D18)</f>
        <v>45643</v>
      </c>
      <c r="E19" s="6">
        <f t="shared" si="9"/>
        <v>51421</v>
      </c>
      <c r="F19" s="6">
        <f t="shared" si="9"/>
        <v>139809</v>
      </c>
      <c r="G19" s="6">
        <f t="shared" si="9"/>
        <v>139809</v>
      </c>
      <c r="H19" s="6">
        <f t="shared" si="9"/>
        <v>42745</v>
      </c>
      <c r="I19" s="6">
        <f t="shared" si="9"/>
        <v>77028.666666666657</v>
      </c>
    </row>
    <row r="21" spans="1:9" x14ac:dyDescent="0.25">
      <c r="A21" s="3" t="s">
        <v>16</v>
      </c>
      <c r="B21" s="3"/>
      <c r="C21" s="6">
        <f>SUM(C9:I9:C19:I19)</f>
        <v>1469941.6666666667</v>
      </c>
      <c r="D21" s="7"/>
      <c r="E21" s="7"/>
      <c r="F21" s="7"/>
      <c r="G21" s="7"/>
      <c r="H21" s="7"/>
      <c r="I21" s="7"/>
    </row>
  </sheetData>
  <mergeCells count="2">
    <mergeCell ref="A9:B9"/>
    <mergeCell ref="A19:B19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E6F56-E20B-4759-B182-DCF47F0BEECC}">
  <dimension ref="A1"/>
  <sheetViews>
    <sheetView workbookViewId="0">
      <selection sqref="A1:I11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2026-03-06T14:08:51Z</dcterms:created>
  <dcterms:modified xsi:type="dcterms:W3CDTF">2026-03-06T14:58:28Z</dcterms:modified>
</cp:coreProperties>
</file>