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larissa vitoria\AppData\Local\Packages\5319275A.WhatsAppDesktop_cv1g1gvanyjgm\LocalState\sessions\6A6EA71357F658487D6D9DB5C95A6761B55A58E7\transfers\2026-11\"/>
    </mc:Choice>
  </mc:AlternateContent>
  <xr:revisionPtr revIDLastSave="0" documentId="8_{23C6D050-1D29-48D8-A3E0-0FE5B2C5008D}" xr6:coauthVersionLast="47" xr6:coauthVersionMax="47" xr10:uidLastSave="{00000000-0000-0000-0000-000000000000}"/>
  <bookViews>
    <workbookView xWindow="-108" yWindow="-108" windowWidth="23256" windowHeight="12456" firstSheet="8" activeTab="8" xr2:uid="{00000000-000D-0000-FFFF-FFFF00000000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7" i="9"/>
  <c r="D17" i="9"/>
  <c r="E17" i="9"/>
  <c r="F17" i="9"/>
  <c r="G17" i="9"/>
  <c r="H17" i="9"/>
  <c r="B17" i="9"/>
  <c r="H6" i="9"/>
  <c r="H7" i="9"/>
  <c r="H8" i="9"/>
  <c r="H9" i="9"/>
  <c r="H10" i="9"/>
  <c r="H11" i="9"/>
  <c r="H12" i="9"/>
  <c r="H13" i="9"/>
  <c r="H14" i="9"/>
  <c r="H15" i="9"/>
  <c r="H16" i="9"/>
  <c r="G7" i="9"/>
  <c r="G8" i="9"/>
  <c r="G9" i="9"/>
  <c r="G10" i="9"/>
  <c r="G11" i="9"/>
  <c r="G12" i="9"/>
  <c r="G13" i="9"/>
  <c r="G14" i="9"/>
  <c r="G15" i="9"/>
  <c r="G16" i="9"/>
  <c r="G6" i="9"/>
  <c r="F8" i="9"/>
  <c r="F7" i="9"/>
  <c r="F6" i="9"/>
  <c r="F9" i="9"/>
  <c r="F10" i="9"/>
  <c r="F11" i="9"/>
  <c r="F12" i="9"/>
  <c r="F13" i="9"/>
  <c r="F14" i="9"/>
  <c r="F15" i="9"/>
  <c r="F16" i="9"/>
  <c r="E7" i="9"/>
  <c r="E8" i="9"/>
  <c r="E9" i="9"/>
  <c r="E10" i="9"/>
  <c r="E11" i="9"/>
  <c r="E12" i="9"/>
  <c r="E13" i="9"/>
  <c r="E14" i="9"/>
  <c r="E15" i="9"/>
  <c r="E16" i="9"/>
  <c r="E6" i="9"/>
  <c r="B21" i="7"/>
  <c r="B20" i="7"/>
  <c r="B19" i="7"/>
  <c r="B18" i="7"/>
  <c r="F7" i="1"/>
  <c r="G5" i="1"/>
  <c r="C8" i="1"/>
  <c r="D9" i="6"/>
  <c r="E9" i="6" s="1"/>
  <c r="D8" i="6"/>
  <c r="E8" i="6" s="1"/>
  <c r="D7" i="6"/>
  <c r="E7" i="6" s="1"/>
  <c r="D6" i="6"/>
  <c r="E6" i="6" s="1"/>
  <c r="D5" i="6"/>
  <c r="E5" i="6" s="1"/>
  <c r="D4" i="6"/>
  <c r="E4" i="6" s="1"/>
  <c r="D3" i="6"/>
  <c r="E3" i="6" s="1"/>
  <c r="D2" i="6"/>
  <c r="E2" i="6" s="1"/>
  <c r="F12" i="5"/>
  <c r="F13" i="5" s="1"/>
  <c r="F14" i="5" s="1"/>
  <c r="E12" i="5"/>
  <c r="E13" i="5" s="1"/>
  <c r="E14" i="5" s="1"/>
  <c r="D12" i="5"/>
  <c r="D13" i="5" s="1"/>
  <c r="D14" i="5" s="1"/>
  <c r="C12" i="5"/>
  <c r="C13" i="5" s="1"/>
  <c r="C14" i="5" s="1"/>
  <c r="G10" i="5"/>
  <c r="G9" i="5"/>
  <c r="G8" i="5"/>
  <c r="G7" i="5"/>
  <c r="G6" i="5"/>
  <c r="G5" i="5"/>
  <c r="G15" i="5" s="1"/>
  <c r="G2" i="5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G10" i="3"/>
  <c r="H10" i="3" s="1"/>
  <c r="F10" i="3"/>
  <c r="G9" i="3"/>
  <c r="H9" i="3" s="1"/>
  <c r="F9" i="3"/>
  <c r="G8" i="3"/>
  <c r="H8" i="3" s="1"/>
  <c r="F8" i="3"/>
  <c r="G7" i="3"/>
  <c r="H7" i="3" s="1"/>
  <c r="F7" i="3"/>
  <c r="H6" i="3"/>
  <c r="G6" i="3"/>
  <c r="F6" i="3"/>
  <c r="G5" i="3"/>
  <c r="H5" i="3" s="1"/>
  <c r="F5" i="3"/>
  <c r="G4" i="3"/>
  <c r="H4" i="3" s="1"/>
  <c r="F4" i="3"/>
  <c r="G3" i="3"/>
  <c r="H3" i="3" s="1"/>
  <c r="F3" i="3"/>
  <c r="H18" i="2"/>
  <c r="G18" i="2"/>
  <c r="F18" i="2"/>
  <c r="E18" i="2"/>
  <c r="H16" i="2"/>
  <c r="G16" i="2"/>
  <c r="F16" i="2"/>
  <c r="E16" i="2"/>
  <c r="D16" i="2"/>
  <c r="D18" i="2" s="1"/>
  <c r="C16" i="2"/>
  <c r="C18" i="2" s="1"/>
  <c r="E17" i="1"/>
  <c r="D17" i="1"/>
  <c r="C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E8" i="1"/>
  <c r="D8" i="1"/>
  <c r="I7" i="1"/>
  <c r="H7" i="1"/>
  <c r="G7" i="1"/>
  <c r="I6" i="1"/>
  <c r="H6" i="1"/>
  <c r="G6" i="1"/>
  <c r="F6" i="1"/>
  <c r="I5" i="1"/>
  <c r="H5" i="1"/>
  <c r="F5" i="1"/>
  <c r="I4" i="1"/>
  <c r="H4" i="1"/>
  <c r="G4" i="1"/>
  <c r="F4" i="1"/>
  <c r="I3" i="1"/>
  <c r="H3" i="1"/>
  <c r="G3" i="1"/>
  <c r="F3" i="1"/>
  <c r="I2" i="1"/>
  <c r="H2" i="1"/>
  <c r="G2" i="1"/>
  <c r="F2" i="1"/>
  <c r="F8" i="1" l="1"/>
  <c r="H8" i="1"/>
  <c r="I8" i="1"/>
  <c r="G8" i="1"/>
  <c r="F17" i="1"/>
  <c r="G17" i="1"/>
  <c r="H17" i="1"/>
  <c r="I17" i="1"/>
</calcChain>
</file>

<file path=xl/sharedStrings.xml><?xml version="1.0" encoding="utf-8"?>
<sst xmlns="http://schemas.openxmlformats.org/spreadsheetml/2006/main" count="241" uniqueCount="208">
  <si>
    <t>Código</t>
  </si>
  <si>
    <t>Produto</t>
  </si>
  <si>
    <t>Jan</t>
  </si>
  <si>
    <t>Fev</t>
  </si>
  <si>
    <t>Mar</t>
  </si>
  <si>
    <t>Total 1º Trim.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</si>
  <si>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</si>
  <si>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</si>
  <si>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</si>
  <si>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</si>
  <si>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</si>
  <si>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</si>
  <si>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</si>
  <si>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</si>
  <si>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</si>
  <si>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Totais</t>
  </si>
  <si>
    <t>Abr</t>
  </si>
  <si>
    <t>Mai</t>
  </si>
  <si>
    <t>Jun</t>
  </si>
  <si>
    <t>Total 2º Trim.</t>
  </si>
  <si>
    <t>Total do Semestre</t>
  </si>
  <si>
    <t xml:space="preserve">CONTAS A PAGAR </t>
  </si>
  <si>
    <r>
      <rPr>
        <sz val="9"/>
        <color theme="0"/>
        <rFont val="Arial MT"/>
      </rPr>
      <t>JANEIRO</t>
    </r>
  </si>
  <si>
    <r>
      <rPr>
        <sz val="9"/>
        <color theme="0"/>
        <rFont val="Arial MT"/>
      </rPr>
      <t>FEVEREIRO</t>
    </r>
  </si>
  <si>
    <r>
      <rPr>
        <sz val="9"/>
        <color theme="0"/>
        <rFont val="Arial MT"/>
      </rPr>
      <t>MARÇO</t>
    </r>
  </si>
  <si>
    <r>
      <rPr>
        <sz val="9"/>
        <color theme="0"/>
        <rFont val="Arial MT"/>
      </rPr>
      <t>ABRIL</t>
    </r>
  </si>
  <si>
    <r>
      <rPr>
        <sz val="9"/>
        <color theme="0"/>
        <rFont val="Arial MT"/>
      </rPr>
      <t>MAIO</t>
    </r>
  </si>
  <si>
    <r>
      <rPr>
        <sz val="9"/>
        <color theme="0"/>
        <rFont val="Arial MT"/>
      </rPr>
      <t>JUNHO</t>
    </r>
  </si>
  <si>
    <r>
      <rPr>
        <sz val="9"/>
        <color theme="0"/>
        <rFont val="Arial MT"/>
      </rPr>
      <t>SALÁRIO</t>
    </r>
  </si>
  <si>
    <r>
      <rPr>
        <sz val="9"/>
        <color theme="0"/>
        <rFont val="Arial MT"/>
      </rPr>
      <t>CONTAS</t>
    </r>
  </si>
  <si>
    <t>ÁGUA</t>
  </si>
  <si>
    <r>
      <rPr>
        <sz val="9"/>
        <color theme="0"/>
        <rFont val="Arial MT"/>
      </rPr>
      <t>LUZ</t>
    </r>
  </si>
  <si>
    <r>
      <rPr>
        <sz val="9"/>
        <color theme="0"/>
        <rFont val="Arial MT"/>
      </rPr>
      <t>ESCOLA</t>
    </r>
  </si>
  <si>
    <r>
      <rPr>
        <sz val="9"/>
        <color theme="0"/>
        <rFont val="Arial MT"/>
      </rPr>
      <t>IPTU</t>
    </r>
  </si>
  <si>
    <r>
      <rPr>
        <sz val="9"/>
        <color theme="0"/>
        <rFont val="Arial MT"/>
      </rPr>
      <t>IPVA</t>
    </r>
  </si>
  <si>
    <r>
      <rPr>
        <sz val="9"/>
        <color theme="0"/>
        <rFont val="Arial MT"/>
      </rPr>
      <t>SHOPPING</t>
    </r>
  </si>
  <si>
    <r>
      <rPr>
        <sz val="9"/>
        <color theme="0"/>
        <rFont val="Arial MT"/>
      </rPr>
      <t>COMBUSTÍVEL</t>
    </r>
  </si>
  <si>
    <r>
      <rPr>
        <sz val="9"/>
        <color theme="0"/>
        <rFont val="Arial MT"/>
      </rPr>
      <t>ACADEMIA</t>
    </r>
  </si>
  <si>
    <r>
      <rPr>
        <sz val="9"/>
        <color theme="0"/>
        <rFont val="Arial MT"/>
      </rPr>
      <t>TOTAL DE CONTAS</t>
    </r>
  </si>
  <si>
    <r>
      <rPr>
        <sz val="9"/>
        <color theme="0"/>
        <rFont val="Arial MT"/>
      </rPr>
      <t>SALDO</t>
    </r>
  </si>
  <si>
    <r>
      <rPr>
        <sz val="9"/>
        <color theme="0"/>
        <rFont val="Arial MT"/>
      </rPr>
      <t>Nº</t>
    </r>
  </si>
  <si>
    <r>
      <rPr>
        <sz val="9"/>
        <color theme="0"/>
        <rFont val="Arial MT"/>
      </rPr>
      <t>NOME</t>
    </r>
  </si>
  <si>
    <t>Salário Bruto</t>
  </si>
  <si>
    <r>
      <rPr>
        <sz val="9"/>
        <color theme="0"/>
        <rFont val="Arial MT"/>
      </rPr>
      <t>INSS</t>
    </r>
  </si>
  <si>
    <t>Gratificação</t>
  </si>
  <si>
    <t>INSS R$</t>
  </si>
  <si>
    <t>Gratificação R$</t>
  </si>
  <si>
    <t>Salário Líquido</t>
  </si>
  <si>
    <r>
      <rPr>
        <sz val="9"/>
        <rFont val="Arial MT"/>
      </rPr>
      <t>Eduardo</t>
    </r>
  </si>
  <si>
    <r>
      <rPr>
        <sz val="9"/>
        <rFont val="Arial MT"/>
      </rPr>
      <t>Maria</t>
    </r>
  </si>
  <si>
    <r>
      <rPr>
        <sz val="9"/>
        <rFont val="Arial MT"/>
      </rPr>
      <t>Helena</t>
    </r>
  </si>
  <si>
    <t>Gabriela</t>
  </si>
  <si>
    <r>
      <rPr>
        <sz val="9"/>
        <rFont val="Arial MT"/>
      </rPr>
      <t>Edson</t>
    </r>
  </si>
  <si>
    <r>
      <rPr>
        <sz val="9"/>
        <rFont val="Arial MT"/>
      </rPr>
      <t>Elisangela</t>
    </r>
  </si>
  <si>
    <r>
      <rPr>
        <sz val="9"/>
        <rFont val="Arial MT"/>
      </rPr>
      <t>Regina</t>
    </r>
  </si>
  <si>
    <r>
      <rPr>
        <sz val="9"/>
        <rFont val="Arial MT"/>
      </rPr>
      <t>Paulo</t>
    </r>
  </si>
  <si>
    <r>
      <rPr>
        <sz val="9"/>
        <color theme="0"/>
        <rFont val="Arial MT"/>
      </rPr>
      <t>Valor do Dólar</t>
    </r>
  </si>
  <si>
    <r>
      <rPr>
        <sz val="9"/>
        <color theme="0"/>
        <rFont val="Arial MT"/>
      </rPr>
      <t>Papelaria Papel Branco</t>
    </r>
  </si>
  <si>
    <r>
      <rPr>
        <sz val="9"/>
        <color theme="0"/>
        <rFont val="Arial MT"/>
      </rPr>
      <t>Produtos</t>
    </r>
  </si>
  <si>
    <r>
      <rPr>
        <sz val="9"/>
        <color theme="0"/>
        <rFont val="Arial MT"/>
      </rPr>
      <t>Qtde</t>
    </r>
  </si>
  <si>
    <r>
      <rPr>
        <sz val="9"/>
        <color theme="0"/>
        <rFont val="Arial MT"/>
      </rPr>
      <t>Preço Unit.</t>
    </r>
  </si>
  <si>
    <r>
      <rPr>
        <sz val="9"/>
        <color theme="0"/>
        <rFont val="Arial MT"/>
      </rPr>
      <t>Total R$</t>
    </r>
  </si>
  <si>
    <r>
      <rPr>
        <sz val="9"/>
        <color theme="0"/>
        <rFont val="Arial MT"/>
      </rPr>
      <t>Total US$</t>
    </r>
  </si>
  <si>
    <r>
      <rPr>
        <sz val="9"/>
        <color theme="0"/>
        <rFont val="Arial MT"/>
      </rPr>
      <t>Caneta Azul</t>
    </r>
  </si>
  <si>
    <r>
      <rPr>
        <sz val="9"/>
        <color theme="0"/>
        <rFont val="Arial MT"/>
      </rPr>
      <t>Caneta Vermelha</t>
    </r>
  </si>
  <si>
    <r>
      <rPr>
        <sz val="9"/>
        <color theme="0"/>
        <rFont val="Arial MT"/>
      </rPr>
      <t>Caderno</t>
    </r>
  </si>
  <si>
    <r>
      <rPr>
        <sz val="9"/>
        <color theme="0"/>
        <rFont val="Arial MT"/>
      </rPr>
      <t>Régua</t>
    </r>
  </si>
  <si>
    <r>
      <rPr>
        <sz val="9"/>
        <color theme="0"/>
        <rFont val="Arial MT"/>
      </rPr>
      <t>Lápis</t>
    </r>
  </si>
  <si>
    <r>
      <rPr>
        <sz val="9"/>
        <color theme="0"/>
        <rFont val="Arial MT"/>
      </rPr>
      <t>Papel Sulfite</t>
    </r>
  </si>
  <si>
    <r>
      <rPr>
        <sz val="9"/>
        <color theme="0"/>
        <rFont val="Arial MT"/>
      </rPr>
      <t>Tinta Nanquim</t>
    </r>
  </si>
  <si>
    <r>
      <rPr>
        <sz val="9"/>
        <color theme="0"/>
        <rFont val="Arial MT"/>
      </rPr>
      <t>Receita bruta</t>
    </r>
  </si>
  <si>
    <r>
      <rPr>
        <sz val="9"/>
        <color theme="0"/>
        <rFont val="Arial MT"/>
      </rPr>
      <t>Jan-Mar</t>
    </r>
  </si>
  <si>
    <r>
      <rPr>
        <sz val="9"/>
        <color theme="0"/>
        <rFont val="Arial MT"/>
      </rPr>
      <t>Abr-Jun</t>
    </r>
  </si>
  <si>
    <r>
      <rPr>
        <sz val="9"/>
        <color theme="0"/>
        <rFont val="Arial MT"/>
      </rPr>
      <t>Jul-Set</t>
    </r>
  </si>
  <si>
    <r>
      <rPr>
        <sz val="9"/>
        <color theme="0"/>
        <rFont val="Arial MT"/>
      </rPr>
      <t>Out-Dez</t>
    </r>
  </si>
  <si>
    <r>
      <rPr>
        <sz val="9"/>
        <color theme="0"/>
        <rFont val="Arial MT"/>
      </rPr>
      <t>Total do Ano</t>
    </r>
  </si>
  <si>
    <r>
      <rPr>
        <sz val="9"/>
        <color theme="0"/>
        <rFont val="Arial MT"/>
      </rPr>
      <t>Despesa Líquida</t>
    </r>
  </si>
  <si>
    <t>Total do Ano</t>
  </si>
  <si>
    <r>
      <rPr>
        <sz val="9"/>
        <color theme="0"/>
        <rFont val="Arial MT"/>
      </rPr>
      <t>Salários</t>
    </r>
  </si>
  <si>
    <r>
      <rPr>
        <sz val="9"/>
        <color theme="0"/>
        <rFont val="Arial MT"/>
      </rPr>
      <t>Juros</t>
    </r>
  </si>
  <si>
    <r>
      <rPr>
        <sz val="9"/>
        <color theme="0"/>
        <rFont val="Arial MT"/>
      </rPr>
      <t>Aluguel</t>
    </r>
  </si>
  <si>
    <r>
      <rPr>
        <sz val="9"/>
        <color theme="0"/>
        <rFont val="Arial MT"/>
      </rPr>
      <t>Propaganda</t>
    </r>
  </si>
  <si>
    <r>
      <rPr>
        <sz val="9"/>
        <color theme="0"/>
        <rFont val="Arial MT"/>
      </rPr>
      <t>Suprimentos</t>
    </r>
  </si>
  <si>
    <r>
      <rPr>
        <sz val="9"/>
        <color theme="0"/>
        <rFont val="Arial MT"/>
      </rPr>
      <t>Diversos</t>
    </r>
  </si>
  <si>
    <r>
      <rPr>
        <sz val="9"/>
        <color theme="0"/>
        <rFont val="Arial MT"/>
      </rPr>
      <t>Total do Trim.</t>
    </r>
  </si>
  <si>
    <r>
      <rPr>
        <sz val="9"/>
        <color theme="0"/>
        <rFont val="Arial MT"/>
      </rPr>
      <t>Receita líquida</t>
    </r>
  </si>
  <si>
    <r>
      <rPr>
        <sz val="9"/>
        <color theme="0"/>
        <rFont val="Arial MT"/>
      </rPr>
      <t>Situação</t>
    </r>
  </si>
  <si>
    <t>Valor Acumulado do ano de despesas</t>
  </si>
  <si>
    <r>
      <rPr>
        <sz val="9"/>
        <color theme="0"/>
        <rFont val="Arial MT"/>
      </rPr>
      <t>Nome</t>
    </r>
  </si>
  <si>
    <r>
      <rPr>
        <sz val="9"/>
        <color theme="0"/>
        <rFont val="Arial MT"/>
      </rPr>
      <t>Salário</t>
    </r>
  </si>
  <si>
    <r>
      <rPr>
        <sz val="9"/>
        <color theme="0"/>
        <rFont val="Arial MT"/>
      </rPr>
      <t>Aumento</t>
    </r>
  </si>
  <si>
    <r>
      <rPr>
        <sz val="9"/>
        <color theme="0"/>
        <rFont val="Arial MT"/>
      </rPr>
      <t>Novo Salário</t>
    </r>
  </si>
  <si>
    <r>
      <rPr>
        <sz val="9"/>
        <color theme="0"/>
        <rFont val="Arial MT"/>
      </rPr>
      <t>João dos Santos</t>
    </r>
  </si>
  <si>
    <r>
      <rPr>
        <sz val="9"/>
        <color theme="0"/>
        <rFont val="Arial MT"/>
      </rPr>
      <t>Maria da Silva</t>
    </r>
  </si>
  <si>
    <t>Até 1000,00</t>
  </si>
  <si>
    <r>
      <rPr>
        <sz val="9"/>
        <color theme="0"/>
        <rFont val="Arial MT"/>
      </rPr>
      <t>Manoel das Flores</t>
    </r>
  </si>
  <si>
    <r>
      <rPr>
        <sz val="9"/>
        <color theme="0"/>
        <rFont val="Arial MT"/>
      </rPr>
      <t>mais 1000,00</t>
    </r>
  </si>
  <si>
    <r>
      <rPr>
        <sz val="9"/>
        <color theme="0"/>
        <rFont val="Arial MT"/>
      </rPr>
      <t>Lambarildo Peixe</t>
    </r>
  </si>
  <si>
    <r>
      <rPr>
        <sz val="9"/>
        <color theme="0"/>
        <rFont val="Arial MT"/>
      </rPr>
      <t>Sebastião Souza</t>
    </r>
  </si>
  <si>
    <r>
      <rPr>
        <sz val="9"/>
        <color theme="0"/>
        <rFont val="Arial MT"/>
      </rPr>
      <t>Ana Flávia Silveira</t>
    </r>
  </si>
  <si>
    <r>
      <rPr>
        <sz val="9"/>
        <color theme="0"/>
        <rFont val="Arial MT"/>
      </rPr>
      <t>Silvia Helena Santos</t>
    </r>
  </si>
  <si>
    <r>
      <rPr>
        <sz val="9"/>
        <color theme="0"/>
        <rFont val="Arial MT"/>
      </rPr>
      <t>Alberto Roberto</t>
    </r>
  </si>
  <si>
    <t>Nome</t>
  </si>
  <si>
    <t>Endereço</t>
  </si>
  <si>
    <t>Bairro</t>
  </si>
  <si>
    <t>Cidade</t>
  </si>
  <si>
    <t>Estado</t>
  </si>
  <si>
    <r>
      <rPr>
        <sz val="9"/>
        <color theme="0"/>
        <rFont val="Arial MT"/>
      </rPr>
      <t>Ana</t>
    </r>
  </si>
  <si>
    <r>
      <rPr>
        <sz val="9"/>
        <rFont val="Arial MT"/>
      </rPr>
      <t>Rodovia Anhanguera, km 180</t>
    </r>
  </si>
  <si>
    <r>
      <rPr>
        <sz val="9"/>
        <rFont val="Arial MT"/>
      </rPr>
      <t>Centro</t>
    </r>
  </si>
  <si>
    <r>
      <rPr>
        <sz val="9"/>
        <rFont val="Arial MT"/>
      </rPr>
      <t>Leme</t>
    </r>
  </si>
  <si>
    <r>
      <rPr>
        <sz val="9"/>
        <rFont val="Arial MT"/>
      </rPr>
      <t>SP</t>
    </r>
  </si>
  <si>
    <r>
      <rPr>
        <sz val="9"/>
        <color theme="0"/>
        <rFont val="Arial MT"/>
      </rPr>
      <t>Eduardo</t>
    </r>
  </si>
  <si>
    <r>
      <rPr>
        <sz val="9"/>
        <rFont val="Arial MT"/>
      </rPr>
      <t>R. Antônio de Castro, 362</t>
    </r>
  </si>
  <si>
    <r>
      <rPr>
        <sz val="9"/>
        <rFont val="Arial MT"/>
      </rPr>
      <t>São Benedito</t>
    </r>
  </si>
  <si>
    <r>
      <rPr>
        <sz val="9"/>
        <rFont val="Arial MT"/>
      </rPr>
      <t>Araras</t>
    </r>
  </si>
  <si>
    <r>
      <rPr>
        <sz val="9"/>
        <color theme="0"/>
        <rFont val="Arial MT"/>
      </rPr>
      <t>Érica</t>
    </r>
  </si>
  <si>
    <r>
      <rPr>
        <sz val="9"/>
        <rFont val="Arial MT"/>
      </rPr>
      <t>R. Tiradentes, 123</t>
    </r>
  </si>
  <si>
    <r>
      <rPr>
        <sz val="9"/>
        <rFont val="Arial MT"/>
      </rPr>
      <t>Salvador</t>
    </r>
  </si>
  <si>
    <r>
      <rPr>
        <sz val="9"/>
        <rFont val="Arial MT"/>
      </rPr>
      <t>BA</t>
    </r>
  </si>
  <si>
    <r>
      <rPr>
        <sz val="9"/>
        <color theme="0"/>
        <rFont val="Arial MT"/>
      </rPr>
      <t>Fernanda</t>
    </r>
  </si>
  <si>
    <r>
      <rPr>
        <sz val="9"/>
        <rFont val="Arial MT"/>
      </rPr>
      <t>Av. Orozimbo Maia, 987</t>
    </r>
  </si>
  <si>
    <r>
      <rPr>
        <sz val="9"/>
        <rFont val="Arial MT"/>
      </rPr>
      <t>Jd. Nova Campinas</t>
    </r>
  </si>
  <si>
    <r>
      <rPr>
        <sz val="9"/>
        <rFont val="Arial MT"/>
      </rPr>
      <t>Campinas</t>
    </r>
  </si>
  <si>
    <r>
      <rPr>
        <sz val="9"/>
        <color theme="0"/>
        <rFont val="Arial MT"/>
      </rPr>
      <t>Gabriela</t>
    </r>
  </si>
  <si>
    <r>
      <rPr>
        <sz val="9"/>
        <rFont val="Arial MT"/>
      </rPr>
      <t>Rodovia Rio/São Paulo, km 77</t>
    </r>
  </si>
  <si>
    <r>
      <rPr>
        <sz val="9"/>
        <rFont val="Arial MT"/>
      </rPr>
      <t>Praia Grande</t>
    </r>
  </si>
  <si>
    <r>
      <rPr>
        <sz val="9"/>
        <rFont val="Arial MT"/>
      </rPr>
      <t>Ubatuba</t>
    </r>
  </si>
  <si>
    <r>
      <rPr>
        <sz val="9"/>
        <color theme="0"/>
        <rFont val="Arial MT"/>
      </rPr>
      <t>Helena</t>
    </r>
  </si>
  <si>
    <r>
      <rPr>
        <sz val="9"/>
        <rFont val="Arial MT"/>
      </rPr>
      <t>R. Júlio Mesquita, 66</t>
    </r>
  </si>
  <si>
    <r>
      <rPr>
        <sz val="9"/>
        <rFont val="Arial MT"/>
      </rPr>
      <t>Recife</t>
    </r>
  </si>
  <si>
    <r>
      <rPr>
        <sz val="9"/>
        <rFont val="Arial MT"/>
      </rPr>
      <t>PE</t>
    </r>
  </si>
  <si>
    <r>
      <rPr>
        <sz val="9"/>
        <color theme="0"/>
        <rFont val="Arial MT"/>
      </rPr>
      <t>Katiane</t>
    </r>
  </si>
  <si>
    <r>
      <rPr>
        <sz val="9"/>
        <rFont val="Arial MT"/>
      </rPr>
      <t>R. 5, 78</t>
    </r>
  </si>
  <si>
    <r>
      <rPr>
        <sz val="9"/>
        <rFont val="Arial MT"/>
      </rPr>
      <t>Jd. Europa</t>
    </r>
  </si>
  <si>
    <r>
      <rPr>
        <sz val="9"/>
        <rFont val="Arial MT"/>
      </rPr>
      <t>Rio Claro</t>
    </r>
  </si>
  <si>
    <r>
      <rPr>
        <sz val="9"/>
        <color theme="0"/>
        <rFont val="Arial MT"/>
      </rPr>
      <t>Lilian</t>
    </r>
  </si>
  <si>
    <r>
      <rPr>
        <sz val="9"/>
        <rFont val="Arial MT"/>
      </rPr>
      <t>R. Lambarildo Peixe, 812</t>
    </r>
  </si>
  <si>
    <r>
      <rPr>
        <sz val="9"/>
        <rFont val="Arial MT"/>
      </rPr>
      <t>Vila Tubarão</t>
    </r>
  </si>
  <si>
    <r>
      <rPr>
        <sz val="9"/>
        <rFont val="Arial MT"/>
      </rPr>
      <t>Ribeirão Preto</t>
    </r>
  </si>
  <si>
    <r>
      <rPr>
        <sz val="9"/>
        <color theme="0"/>
        <rFont val="Arial MT"/>
      </rPr>
      <t>Lucimara</t>
    </r>
  </si>
  <si>
    <r>
      <rPr>
        <sz val="9"/>
        <rFont val="Arial MT"/>
      </rPr>
      <t>Av. dos Jequitibas, 11</t>
    </r>
  </si>
  <si>
    <r>
      <rPr>
        <sz val="9"/>
        <rFont val="Arial MT"/>
      </rPr>
      <t>Jd. Paulista</t>
    </r>
  </si>
  <si>
    <r>
      <rPr>
        <sz val="9"/>
        <rFont val="Arial MT"/>
      </rPr>
      <t>Florianópolis</t>
    </r>
  </si>
  <si>
    <r>
      <rPr>
        <sz val="9"/>
        <rFont val="Arial MT"/>
      </rPr>
      <t>SC</t>
    </r>
  </si>
  <si>
    <r>
      <rPr>
        <sz val="9"/>
        <color theme="0"/>
        <rFont val="Arial MT"/>
      </rPr>
      <t>Maria</t>
    </r>
  </si>
  <si>
    <r>
      <rPr>
        <sz val="9"/>
        <rFont val="Arial MT"/>
      </rPr>
      <t>Av. Ipiranga, 568</t>
    </r>
  </si>
  <si>
    <r>
      <rPr>
        <sz val="9"/>
        <rFont val="Arial MT"/>
      </rPr>
      <t>Ibirapuera</t>
    </r>
  </si>
  <si>
    <r>
      <rPr>
        <sz val="9"/>
        <rFont val="Arial MT"/>
      </rPr>
      <t>Manaus</t>
    </r>
  </si>
  <si>
    <r>
      <rPr>
        <sz val="9"/>
        <rFont val="Arial MT"/>
      </rPr>
      <t>AM</t>
    </r>
  </si>
  <si>
    <r>
      <rPr>
        <sz val="9"/>
        <color theme="0"/>
        <rFont val="Arial MT"/>
      </rPr>
      <t>Roberto</t>
    </r>
  </si>
  <si>
    <r>
      <rPr>
        <sz val="9"/>
        <rFont val="Arial MT"/>
      </rPr>
      <t>Av. Limeira, 98</t>
    </r>
  </si>
  <si>
    <r>
      <rPr>
        <sz val="9"/>
        <rFont val="Arial MT"/>
      </rPr>
      <t>Belvedere</t>
    </r>
  </si>
  <si>
    <r>
      <rPr>
        <sz val="9"/>
        <color theme="0"/>
        <rFont val="Arial MT"/>
      </rPr>
      <t>Rubens</t>
    </r>
  </si>
  <si>
    <r>
      <rPr>
        <sz val="9"/>
        <rFont val="Arial MT"/>
      </rPr>
      <t>Al. dos Laranjais, 99</t>
    </r>
  </si>
  <si>
    <r>
      <rPr>
        <sz val="9"/>
        <rFont val="Arial MT"/>
      </rPr>
      <t>Rio de Janeiro</t>
    </r>
  </si>
  <si>
    <r>
      <rPr>
        <sz val="9"/>
        <rFont val="Arial MT"/>
      </rPr>
      <t>RJ</t>
    </r>
  </si>
  <si>
    <r>
      <rPr>
        <sz val="9"/>
        <color theme="0"/>
        <rFont val="Arial MT"/>
      </rPr>
      <t>Sônia</t>
    </r>
  </si>
  <si>
    <r>
      <rPr>
        <sz val="9"/>
        <rFont val="Arial MT"/>
      </rPr>
      <t>R. das Quaresmeiras, 810</t>
    </r>
  </si>
  <si>
    <r>
      <rPr>
        <sz val="9"/>
        <rFont val="Arial MT"/>
      </rPr>
      <t>Vila Cláudia</t>
    </r>
  </si>
  <si>
    <r>
      <rPr>
        <sz val="9"/>
        <rFont val="Arial MT"/>
      </rPr>
      <t>Porto Alegre</t>
    </r>
  </si>
  <si>
    <r>
      <rPr>
        <sz val="9"/>
        <rFont val="Arial MT"/>
      </rPr>
      <t>RS</t>
    </r>
  </si>
  <si>
    <r>
      <rPr>
        <sz val="9"/>
        <color theme="0"/>
        <rFont val="Arial MT"/>
      </rPr>
      <t>Tatiane</t>
    </r>
  </si>
  <si>
    <r>
      <rPr>
        <sz val="9"/>
        <rFont val="Arial MT"/>
      </rPr>
      <t>R. Minas Gerais, 67</t>
    </r>
  </si>
  <si>
    <r>
      <rPr>
        <sz val="9"/>
        <rFont val="Arial MT"/>
      </rPr>
      <t>Parque Industrial</t>
    </r>
  </si>
  <si>
    <r>
      <rPr>
        <sz val="9"/>
        <rFont val="Arial MT"/>
      </rPr>
      <t>Poços de Caldas</t>
    </r>
  </si>
  <si>
    <r>
      <rPr>
        <sz val="9"/>
        <rFont val="Arial MT"/>
      </rPr>
      <t>MG</t>
    </r>
  </si>
  <si>
    <t xml:space="preserve">Rubens     </t>
  </si>
  <si>
    <r>
      <rPr>
        <sz val="9"/>
        <color theme="0"/>
        <rFont val="Arial MT"/>
      </rPr>
      <t>Endereço</t>
    </r>
  </si>
  <si>
    <r>
      <rPr>
        <sz val="9"/>
        <color theme="0"/>
        <rFont val="Arial MT"/>
      </rPr>
      <t>Bairro</t>
    </r>
  </si>
  <si>
    <r>
      <rPr>
        <sz val="9"/>
        <color theme="0"/>
        <rFont val="Arial MT"/>
      </rPr>
      <t>Cidade</t>
    </r>
  </si>
  <si>
    <r>
      <rPr>
        <sz val="9"/>
        <color theme="0"/>
        <rFont val="Arial MT"/>
      </rPr>
      <t>Estado</t>
    </r>
  </si>
  <si>
    <r>
      <rPr>
        <b/>
        <sz val="10"/>
        <rFont val="Times New Roman"/>
        <family val="1"/>
      </rPr>
      <t>A</t>
    </r>
  </si>
  <si>
    <r>
      <rPr>
        <b/>
        <sz val="10"/>
        <rFont val="Times New Roman"/>
        <family val="1"/>
      </rPr>
      <t>B</t>
    </r>
  </si>
  <si>
    <r>
      <rPr>
        <b/>
        <sz val="10"/>
        <rFont val="Times New Roman"/>
        <family val="1"/>
      </rPr>
      <t>C</t>
    </r>
  </si>
  <si>
    <r>
      <rPr>
        <b/>
        <sz val="10"/>
        <rFont val="Times New Roman"/>
        <family val="1"/>
      </rPr>
      <t>D</t>
    </r>
  </si>
  <si>
    <r>
      <rPr>
        <b/>
        <sz val="10"/>
        <rFont val="Times New Roman"/>
        <family val="1"/>
      </rPr>
      <t>E</t>
    </r>
  </si>
  <si>
    <r>
      <rPr>
        <b/>
        <sz val="10"/>
        <rFont val="Times New Roman"/>
        <family val="1"/>
      </rPr>
      <t>Bolsa de Valores</t>
    </r>
  </si>
  <si>
    <r>
      <rPr>
        <b/>
        <sz val="10"/>
        <rFont val="Times New Roman"/>
        <family val="1"/>
      </rPr>
      <t>Relação de Movimentação Financeira da Semana</t>
    </r>
  </si>
  <si>
    <t>Dias da Semana</t>
  </si>
  <si>
    <t>Valor Máximo</t>
  </si>
  <si>
    <t>Valor Mínimo</t>
  </si>
  <si>
    <t>Fechamento</t>
  </si>
  <si>
    <t>Abertura do Pregão</t>
  </si>
  <si>
    <t>Segunda-Feir</t>
  </si>
  <si>
    <t xml:space="preserve">Terça-Feira </t>
  </si>
  <si>
    <t>Quarta-Feira</t>
  </si>
  <si>
    <t xml:space="preserve">Quinta-Feira </t>
  </si>
  <si>
    <t xml:space="preserve">Sexta-Feira     </t>
  </si>
  <si>
    <r>
      <rPr>
        <b/>
        <sz val="9"/>
        <rFont val="Times New Roman"/>
        <family val="1"/>
      </rPr>
      <t>Porc. De Lucro</t>
    </r>
  </si>
  <si>
    <r>
      <rPr>
        <b/>
        <sz val="9"/>
        <rFont val="Times New Roman"/>
        <family val="1"/>
      </rPr>
      <t>Valor do Dólar:</t>
    </r>
  </si>
  <si>
    <r>
      <rPr>
        <sz val="9"/>
        <rFont val="Times New Roman"/>
        <family val="1"/>
      </rPr>
      <t>Reais</t>
    </r>
  </si>
  <si>
    <t>Dólar</t>
  </si>
  <si>
    <r>
      <rPr>
        <sz val="9"/>
        <rFont val="Times New Roman"/>
        <family val="1"/>
      </rPr>
      <t>Estoque</t>
    </r>
  </si>
  <si>
    <r>
      <rPr>
        <sz val="9"/>
        <rFont val="Times New Roman"/>
        <family val="1"/>
      </rPr>
      <t>Custo</t>
    </r>
  </si>
  <si>
    <r>
      <rPr>
        <sz val="9"/>
        <rFont val="Times New Roman"/>
        <family val="1"/>
      </rPr>
      <t>Venda</t>
    </r>
  </si>
  <si>
    <r>
      <rPr>
        <sz val="9"/>
        <rFont val="Times New Roman"/>
        <family val="1"/>
      </rPr>
      <t>Total</t>
    </r>
  </si>
  <si>
    <t>Borracha</t>
  </si>
  <si>
    <t>Caderno 100 fls</t>
  </si>
  <si>
    <t>Caderno 200 fls</t>
  </si>
  <si>
    <t>Caneta Azul</t>
  </si>
  <si>
    <t>Caneta Vermelha</t>
  </si>
  <si>
    <t>Lapiseira</t>
  </si>
  <si>
    <t>Régua 15 cm</t>
  </si>
  <si>
    <t>Régua 30 cm</t>
  </si>
  <si>
    <t>Giz de Cera</t>
  </si>
  <si>
    <t>Cola</t>
  </si>
  <si>
    <t>Compasso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</si>
</sst>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_-[$$-409]* #,##0.00_ ;_-[$$-409]* \-#,##0.00\ ;_-[$$-409]* &quot;-&quot;??_ ;_-@_ "/>
    <numFmt numFmtId="166" formatCode="_-[$R$-416]\ * #,##0.00_-;\-[$R$-416]\ * #,##0.00_-;_-[$R$-416]\ * &quot;-&quot;??_-;_-@_-"/>
  </numFmts>
  <fonts count="25">
    <font>
      <sz val="11"/>
      <name val="Calibri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9"/>
      <name val="Arial MT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theme="0"/>
      <name val="Calibri"/>
      <family val="2"/>
    </font>
    <font>
      <sz val="11"/>
      <name val="Abadi"/>
      <family val="2"/>
    </font>
    <font>
      <sz val="11"/>
      <name val="Aharoni"/>
      <charset val="177"/>
    </font>
    <font>
      <sz val="11"/>
      <name val="Aldhabi"/>
      <charset val="178"/>
    </font>
    <font>
      <sz val="10"/>
      <color rgb="FF000000"/>
      <name val="Bahnschrift"/>
      <family val="2"/>
    </font>
    <font>
      <sz val="10"/>
      <name val="Bahnschrift"/>
      <family val="2"/>
    </font>
    <font>
      <sz val="10"/>
      <name val="Centaur Now Caption"/>
    </font>
    <font>
      <sz val="9"/>
      <color theme="0"/>
      <name val="Arial"/>
      <family val="2"/>
    </font>
    <font>
      <sz val="9"/>
      <color theme="0"/>
      <name val="Arial MT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6F6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0" xfId="0" applyFont="1"/>
    <xf numFmtId="0" fontId="4" fillId="0" borderId="7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center" vertical="top" shrinkToFit="1"/>
    </xf>
    <xf numFmtId="4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13" xfId="0" applyFont="1" applyBorder="1" applyAlignment="1">
      <alignment wrapText="1"/>
    </xf>
    <xf numFmtId="0" fontId="0" fillId="0" borderId="0" xfId="0"/>
    <xf numFmtId="0" fontId="12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4" fillId="0" borderId="0" xfId="0" applyFont="1" applyBorder="1" applyAlignment="1">
      <alignment horizontal="left" vertical="top" wrapText="1"/>
    </xf>
    <xf numFmtId="0" fontId="0" fillId="0" borderId="0" xfId="0" applyBorder="1"/>
    <xf numFmtId="1" fontId="0" fillId="0" borderId="0" xfId="0" applyNumberFormat="1"/>
    <xf numFmtId="4" fontId="14" fillId="2" borderId="15" xfId="0" applyNumberFormat="1" applyFont="1" applyFill="1" applyBorder="1" applyAlignment="1">
      <alignment horizontal="left" vertical="center" wrapText="1"/>
    </xf>
    <xf numFmtId="4" fontId="14" fillId="3" borderId="17" xfId="0" applyNumberFormat="1" applyFont="1" applyFill="1" applyBorder="1" applyAlignment="1">
      <alignment horizontal="left" wrapText="1"/>
    </xf>
    <xf numFmtId="1" fontId="13" fillId="3" borderId="14" xfId="0" applyNumberFormat="1" applyFont="1" applyFill="1" applyBorder="1" applyAlignment="1">
      <alignment horizontal="center" vertical="top" shrinkToFit="1"/>
    </xf>
    <xf numFmtId="1" fontId="13" fillId="3" borderId="1" xfId="0" applyNumberFormat="1" applyFont="1" applyFill="1" applyBorder="1" applyAlignment="1">
      <alignment horizontal="center" vertical="top" shrinkToFit="1"/>
    </xf>
    <xf numFmtId="1" fontId="13" fillId="3" borderId="16" xfId="0" applyNumberFormat="1" applyFont="1" applyFill="1" applyBorder="1" applyAlignment="1">
      <alignment horizontal="center" vertical="top" shrinkToFit="1"/>
    </xf>
    <xf numFmtId="0" fontId="13" fillId="3" borderId="17" xfId="0" applyFont="1" applyFill="1" applyBorder="1" applyAlignment="1">
      <alignment horizontal="left" vertical="top" wrapText="1"/>
    </xf>
    <xf numFmtId="0" fontId="13" fillId="3" borderId="17" xfId="0" applyFont="1" applyFill="1" applyBorder="1" applyAlignment="1">
      <alignment horizontal="right" vertical="top" wrapText="1"/>
    </xf>
    <xf numFmtId="4" fontId="14" fillId="3" borderId="15" xfId="0" applyNumberFormat="1" applyFont="1" applyFill="1" applyBorder="1" applyAlignment="1">
      <alignment horizontal="left" vertical="center" wrapText="1"/>
    </xf>
    <xf numFmtId="4" fontId="18" fillId="4" borderId="14" xfId="0" applyNumberFormat="1" applyFont="1" applyFill="1" applyBorder="1" applyAlignment="1">
      <alignment horizontal="right" vertical="top" shrinkToFit="1"/>
    </xf>
    <xf numFmtId="4" fontId="19" fillId="4" borderId="14" xfId="0" applyNumberFormat="1" applyFont="1" applyFill="1" applyBorder="1" applyAlignment="1">
      <alignment horizontal="left" wrapText="1"/>
    </xf>
    <xf numFmtId="4" fontId="18" fillId="4" borderId="1" xfId="0" applyNumberFormat="1" applyFont="1" applyFill="1" applyBorder="1" applyAlignment="1">
      <alignment horizontal="right" vertical="top" shrinkToFit="1"/>
    </xf>
    <xf numFmtId="4" fontId="19" fillId="4" borderId="1" xfId="0" applyNumberFormat="1" applyFont="1" applyFill="1" applyBorder="1" applyAlignment="1">
      <alignment horizontal="left" wrapText="1"/>
    </xf>
    <xf numFmtId="4" fontId="18" fillId="4" borderId="16" xfId="0" applyNumberFormat="1" applyFont="1" applyFill="1" applyBorder="1" applyAlignment="1">
      <alignment horizontal="right" vertical="top" shrinkToFit="1"/>
    </xf>
    <xf numFmtId="4" fontId="19" fillId="4" borderId="16" xfId="0" applyNumberFormat="1" applyFont="1" applyFill="1" applyBorder="1" applyAlignment="1">
      <alignment horizontal="left" vertical="top" wrapText="1"/>
    </xf>
    <xf numFmtId="4" fontId="19" fillId="4" borderId="16" xfId="0" applyNumberFormat="1" applyFont="1" applyFill="1" applyBorder="1" applyAlignment="1">
      <alignment horizontal="left" wrapText="1"/>
    </xf>
    <xf numFmtId="0" fontId="20" fillId="5" borderId="14" xfId="0" applyFont="1" applyFill="1" applyBorder="1" applyAlignment="1">
      <alignment horizontal="left" vertical="top" wrapText="1"/>
    </xf>
    <xf numFmtId="0" fontId="20" fillId="5" borderId="1" xfId="0" applyFont="1" applyFill="1" applyBorder="1" applyAlignment="1">
      <alignment horizontal="left" vertical="top" wrapText="1"/>
    </xf>
    <xf numFmtId="0" fontId="20" fillId="5" borderId="16" xfId="0" applyFont="1" applyFill="1" applyBorder="1" applyAlignment="1">
      <alignment horizontal="left" vertical="top" wrapText="1"/>
    </xf>
    <xf numFmtId="0" fontId="21" fillId="6" borderId="1" xfId="0" applyFont="1" applyFill="1" applyBorder="1" applyAlignment="1">
      <alignment vertical="top" wrapText="1"/>
    </xf>
    <xf numFmtId="0" fontId="21" fillId="6" borderId="1" xfId="0" applyFont="1" applyFill="1" applyBorder="1" applyAlignment="1">
      <alignment horizontal="left" vertical="top" wrapText="1"/>
    </xf>
    <xf numFmtId="0" fontId="14" fillId="0" borderId="0" xfId="0" applyFont="1" applyAlignment="1">
      <alignment wrapText="1"/>
    </xf>
    <xf numFmtId="0" fontId="14" fillId="0" borderId="0" xfId="0" applyFont="1"/>
    <xf numFmtId="8" fontId="2" fillId="7" borderId="1" xfId="0" applyNumberFormat="1" applyFont="1" applyFill="1" applyBorder="1" applyAlignment="1">
      <alignment vertical="top" wrapText="1"/>
    </xf>
    <xf numFmtId="164" fontId="2" fillId="7" borderId="1" xfId="0" applyNumberFormat="1" applyFont="1" applyFill="1" applyBorder="1" applyAlignment="1">
      <alignment vertical="top" wrapText="1"/>
    </xf>
    <xf numFmtId="8" fontId="2" fillId="7" borderId="1" xfId="0" applyNumberFormat="1" applyFont="1" applyFill="1" applyBorder="1" applyAlignment="1">
      <alignment horizontal="right" vertical="top" wrapText="1"/>
    </xf>
    <xf numFmtId="164" fontId="2" fillId="7" borderId="1" xfId="0" applyNumberFormat="1" applyFont="1" applyFill="1" applyBorder="1" applyAlignment="1">
      <alignment horizontal="right" vertical="top" wrapText="1"/>
    </xf>
    <xf numFmtId="164" fontId="4" fillId="7" borderId="1" xfId="0" applyNumberFormat="1" applyFont="1" applyFill="1" applyBorder="1" applyAlignment="1">
      <alignment vertical="center" wrapText="1"/>
    </xf>
    <xf numFmtId="8" fontId="4" fillId="7" borderId="1" xfId="0" applyNumberFormat="1" applyFont="1" applyFill="1" applyBorder="1" applyAlignment="1">
      <alignment wrapText="1"/>
    </xf>
    <xf numFmtId="164" fontId="2" fillId="11" borderId="1" xfId="0" applyNumberFormat="1" applyFont="1" applyFill="1" applyBorder="1" applyAlignment="1">
      <alignment vertical="top" wrapText="1"/>
    </xf>
    <xf numFmtId="10" fontId="3" fillId="11" borderId="1" xfId="0" applyNumberFormat="1" applyFont="1" applyFill="1" applyBorder="1" applyAlignment="1">
      <alignment horizontal="right" vertical="top" shrinkToFit="1"/>
    </xf>
    <xf numFmtId="164" fontId="3" fillId="11" borderId="1" xfId="0" applyNumberFormat="1" applyFont="1" applyFill="1" applyBorder="1" applyAlignment="1">
      <alignment vertical="top" shrinkToFit="1"/>
    </xf>
    <xf numFmtId="164" fontId="4" fillId="11" borderId="1" xfId="0" applyNumberFormat="1" applyFont="1" applyFill="1" applyBorder="1" applyAlignment="1">
      <alignment wrapText="1"/>
    </xf>
    <xf numFmtId="0" fontId="2" fillId="12" borderId="1" xfId="0" applyFont="1" applyFill="1" applyBorder="1" applyAlignment="1">
      <alignment vertical="top" wrapText="1"/>
    </xf>
    <xf numFmtId="0" fontId="4" fillId="0" borderId="5" xfId="0" applyFont="1" applyBorder="1" applyAlignment="1">
      <alignment wrapText="1"/>
    </xf>
    <xf numFmtId="1" fontId="3" fillId="15" borderId="3" xfId="0" applyNumberFormat="1" applyFont="1" applyFill="1" applyBorder="1" applyAlignment="1">
      <alignment vertical="top" shrinkToFit="1"/>
    </xf>
    <xf numFmtId="164" fontId="2" fillId="15" borderId="1" xfId="0" applyNumberFormat="1" applyFont="1" applyFill="1" applyBorder="1" applyAlignment="1">
      <alignment horizontal="right" vertical="top" wrapText="1"/>
    </xf>
    <xf numFmtId="164" fontId="4" fillId="15" borderId="3" xfId="0" applyNumberFormat="1" applyFont="1" applyFill="1" applyBorder="1" applyAlignment="1">
      <alignment wrapText="1"/>
    </xf>
    <xf numFmtId="165" fontId="4" fillId="15" borderId="3" xfId="0" applyNumberFormat="1" applyFont="1" applyFill="1" applyBorder="1" applyAlignment="1">
      <alignment wrapText="1"/>
    </xf>
    <xf numFmtId="164" fontId="2" fillId="15" borderId="3" xfId="0" applyNumberFormat="1" applyFont="1" applyFill="1" applyBorder="1" applyAlignment="1">
      <alignment vertical="top" wrapText="1"/>
    </xf>
    <xf numFmtId="0" fontId="21" fillId="14" borderId="3" xfId="0" applyFont="1" applyFill="1" applyBorder="1" applyAlignment="1">
      <alignment vertical="top" wrapText="1"/>
    </xf>
    <xf numFmtId="0" fontId="21" fillId="14" borderId="1" xfId="0" applyFont="1" applyFill="1" applyBorder="1" applyAlignment="1">
      <alignment horizontal="right" vertical="top" wrapText="1"/>
    </xf>
    <xf numFmtId="0" fontId="21" fillId="16" borderId="3" xfId="0" applyFont="1" applyFill="1" applyBorder="1" applyAlignment="1">
      <alignment vertical="top" wrapText="1"/>
    </xf>
    <xf numFmtId="0" fontId="21" fillId="16" borderId="1" xfId="0" applyFont="1" applyFill="1" applyBorder="1" applyAlignment="1">
      <alignment horizontal="center" vertical="top" wrapText="1"/>
    </xf>
    <xf numFmtId="0" fontId="14" fillId="0" borderId="3" xfId="0" applyFont="1" applyBorder="1" applyAlignment="1">
      <alignment wrapText="1"/>
    </xf>
    <xf numFmtId="0" fontId="14" fillId="0" borderId="4" xfId="0" applyFont="1" applyBorder="1" applyAlignment="1">
      <alignment wrapText="1"/>
    </xf>
    <xf numFmtId="4" fontId="21" fillId="17" borderId="3" xfId="0" applyNumberFormat="1" applyFont="1" applyFill="1" applyBorder="1" applyAlignment="1">
      <alignment vertical="top" shrinkToFit="1"/>
    </xf>
    <xf numFmtId="4" fontId="14" fillId="17" borderId="1" xfId="0" applyNumberFormat="1" applyFont="1" applyFill="1" applyBorder="1" applyAlignment="1">
      <alignment horizontal="left" wrapText="1"/>
    </xf>
    <xf numFmtId="0" fontId="14" fillId="0" borderId="7" xfId="0" applyFont="1" applyBorder="1" applyAlignment="1">
      <alignment wrapText="1"/>
    </xf>
    <xf numFmtId="0" fontId="21" fillId="16" borderId="1" xfId="0" applyFont="1" applyFill="1" applyBorder="1" applyAlignment="1">
      <alignment vertical="top" wrapText="1"/>
    </xf>
    <xf numFmtId="4" fontId="21" fillId="17" borderId="1" xfId="0" applyNumberFormat="1" applyFont="1" applyFill="1" applyBorder="1" applyAlignment="1">
      <alignment vertical="top" shrinkToFit="1"/>
    </xf>
    <xf numFmtId="0" fontId="21" fillId="0" borderId="0" xfId="0" applyFont="1" applyAlignment="1">
      <alignment horizontal="left" vertical="top" wrapText="1"/>
    </xf>
    <xf numFmtId="4" fontId="21" fillId="0" borderId="0" xfId="0" applyNumberFormat="1" applyFont="1" applyAlignment="1">
      <alignment horizontal="left" vertical="top" shrinkToFit="1"/>
    </xf>
    <xf numFmtId="0" fontId="14" fillId="0" borderId="0" xfId="0" applyFont="1" applyAlignment="1">
      <alignment horizontal="left" wrapText="1"/>
    </xf>
    <xf numFmtId="4" fontId="14" fillId="17" borderId="1" xfId="0" applyNumberFormat="1" applyFont="1" applyFill="1" applyBorder="1" applyAlignment="1">
      <alignment wrapText="1"/>
    </xf>
    <xf numFmtId="0" fontId="14" fillId="0" borderId="0" xfId="0" applyFont="1" applyAlignment="1">
      <alignment vertical="center" wrapText="1"/>
    </xf>
    <xf numFmtId="0" fontId="14" fillId="17" borderId="1" xfId="0" applyFont="1" applyFill="1" applyBorder="1" applyAlignment="1">
      <alignment wrapText="1"/>
    </xf>
    <xf numFmtId="4" fontId="21" fillId="17" borderId="1" xfId="0" applyNumberFormat="1" applyFont="1" applyFill="1" applyBorder="1" applyAlignment="1">
      <alignment vertical="top" wrapText="1"/>
    </xf>
    <xf numFmtId="0" fontId="4" fillId="0" borderId="6" xfId="0" applyFont="1" applyBorder="1" applyAlignment="1"/>
    <xf numFmtId="0" fontId="13" fillId="3" borderId="17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0" fillId="0" borderId="0" xfId="0" applyAlignment="1"/>
    <xf numFmtId="164" fontId="2" fillId="20" borderId="1" xfId="0" applyNumberFormat="1" applyFont="1" applyFill="1" applyBorder="1" applyAlignment="1">
      <alignment horizontal="right" vertical="top" wrapText="1"/>
    </xf>
    <xf numFmtId="164" fontId="2" fillId="20" borderId="3" xfId="0" applyNumberFormat="1" applyFont="1" applyFill="1" applyBorder="1" applyAlignment="1">
      <alignment vertical="top" wrapText="1"/>
    </xf>
    <xf numFmtId="164" fontId="2" fillId="20" borderId="1" xfId="0" applyNumberFormat="1" applyFont="1" applyFill="1" applyBorder="1" applyAlignment="1">
      <alignment horizontal="left" vertical="top" wrapText="1"/>
    </xf>
    <xf numFmtId="9" fontId="3" fillId="21" borderId="1" xfId="0" applyNumberFormat="1" applyFont="1" applyFill="1" applyBorder="1" applyAlignment="1">
      <alignment horizontal="right" vertical="top" shrinkToFit="1"/>
    </xf>
    <xf numFmtId="0" fontId="2" fillId="22" borderId="3" xfId="0" applyFont="1" applyFill="1" applyBorder="1" applyAlignment="1">
      <alignment vertical="top" wrapText="1"/>
    </xf>
    <xf numFmtId="0" fontId="1" fillId="23" borderId="3" xfId="0" applyFont="1" applyFill="1" applyBorder="1" applyAlignment="1">
      <alignment vertical="top" wrapText="1"/>
    </xf>
    <xf numFmtId="4" fontId="7" fillId="9" borderId="1" xfId="0" applyNumberFormat="1" applyFont="1" applyFill="1" applyBorder="1" applyAlignment="1">
      <alignment horizontal="left" vertical="top" wrapText="1"/>
    </xf>
    <xf numFmtId="4" fontId="7" fillId="18" borderId="1" xfId="0" applyNumberFormat="1" applyFont="1" applyFill="1" applyBorder="1" applyAlignment="1">
      <alignment horizontal="left" vertical="top" wrapText="1"/>
    </xf>
    <xf numFmtId="4" fontId="7" fillId="24" borderId="1" xfId="0" applyNumberFormat="1" applyFont="1" applyFill="1" applyBorder="1" applyAlignment="1">
      <alignment horizontal="left" vertical="top" wrapText="1"/>
    </xf>
    <xf numFmtId="4" fontId="7" fillId="25" borderId="1" xfId="0" applyNumberFormat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26" borderId="1" xfId="0" applyFont="1" applyFill="1" applyBorder="1" applyAlignment="1">
      <alignment vertical="top" wrapText="1"/>
    </xf>
    <xf numFmtId="0" fontId="7" fillId="19" borderId="1" xfId="0" applyFont="1" applyFill="1" applyBorder="1" applyAlignment="1">
      <alignment vertical="top" wrapText="1"/>
    </xf>
    <xf numFmtId="1" fontId="6" fillId="27" borderId="1" xfId="0" applyNumberFormat="1" applyFont="1" applyFill="1" applyBorder="1" applyAlignment="1">
      <alignment horizontal="center" vertical="top" shrinkToFit="1"/>
    </xf>
    <xf numFmtId="0" fontId="5" fillId="27" borderId="1" xfId="0" applyFont="1" applyFill="1" applyBorder="1" applyAlignment="1">
      <alignment horizontal="center" vertical="top" wrapText="1"/>
    </xf>
    <xf numFmtId="0" fontId="10" fillId="21" borderId="1" xfId="0" applyFont="1" applyFill="1" applyBorder="1" applyAlignment="1">
      <alignment horizontal="left" vertical="top" wrapText="1"/>
    </xf>
    <xf numFmtId="1" fontId="9" fillId="22" borderId="1" xfId="0" applyNumberFormat="1" applyFont="1" applyFill="1" applyBorder="1" applyAlignment="1">
      <alignment horizontal="right" vertical="top" shrinkToFit="1"/>
    </xf>
    <xf numFmtId="166" fontId="9" fillId="22" borderId="1" xfId="0" applyNumberFormat="1" applyFont="1" applyFill="1" applyBorder="1" applyAlignment="1">
      <alignment horizontal="right" vertical="top" shrinkToFit="1"/>
    </xf>
    <xf numFmtId="166" fontId="4" fillId="22" borderId="1" xfId="0" applyNumberFormat="1" applyFont="1" applyFill="1" applyBorder="1" applyAlignment="1">
      <alignment horizontal="left" wrapText="1"/>
    </xf>
    <xf numFmtId="165" fontId="4" fillId="22" borderId="1" xfId="0" applyNumberFormat="1" applyFont="1" applyFill="1" applyBorder="1" applyAlignment="1">
      <alignment horizontal="left" wrapText="1"/>
    </xf>
    <xf numFmtId="1" fontId="4" fillId="28" borderId="1" xfId="0" applyNumberFormat="1" applyFont="1" applyFill="1" applyBorder="1" applyAlignment="1">
      <alignment horizontal="left" wrapText="1"/>
    </xf>
    <xf numFmtId="166" fontId="4" fillId="28" borderId="1" xfId="0" applyNumberFormat="1" applyFont="1" applyFill="1" applyBorder="1" applyAlignment="1">
      <alignment horizontal="left" wrapText="1"/>
    </xf>
    <xf numFmtId="165" fontId="4" fillId="28" borderId="1" xfId="0" applyNumberFormat="1" applyFont="1" applyFill="1" applyBorder="1" applyAlignment="1">
      <alignment horizontal="left" wrapText="1"/>
    </xf>
    <xf numFmtId="10" fontId="9" fillId="29" borderId="1" xfId="0" applyNumberFormat="1" applyFont="1" applyFill="1" applyBorder="1" applyAlignment="1">
      <alignment horizontal="right" vertical="top" shrinkToFit="1"/>
    </xf>
    <xf numFmtId="2" fontId="9" fillId="29" borderId="1" xfId="0" applyNumberFormat="1" applyFont="1" applyFill="1" applyBorder="1" applyAlignment="1">
      <alignment horizontal="right" vertical="top" shrinkToFit="1"/>
    </xf>
    <xf numFmtId="0" fontId="8" fillId="20" borderId="1" xfId="0" applyFont="1" applyFill="1" applyBorder="1" applyAlignment="1">
      <alignment horizontal="left" vertical="top" wrapText="1"/>
    </xf>
    <xf numFmtId="166" fontId="4" fillId="0" borderId="0" xfId="0" applyNumberFormat="1" applyFont="1" applyFill="1" applyBorder="1" applyAlignment="1">
      <alignment horizontal="left" wrapText="1"/>
    </xf>
    <xf numFmtId="166" fontId="4" fillId="28" borderId="16" xfId="0" applyNumberFormat="1" applyFont="1" applyFill="1" applyBorder="1" applyAlignment="1">
      <alignment horizontal="left" wrapText="1"/>
    </xf>
    <xf numFmtId="165" fontId="4" fillId="28" borderId="16" xfId="0" applyNumberFormat="1" applyFont="1" applyFill="1" applyBorder="1" applyAlignment="1">
      <alignment horizontal="left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center" wrapText="1"/>
    </xf>
    <xf numFmtId="0" fontId="21" fillId="10" borderId="1" xfId="0" applyFont="1" applyFill="1" applyBorder="1" applyAlignment="1">
      <alignment horizontal="center" vertical="top" wrapText="1"/>
    </xf>
    <xf numFmtId="0" fontId="21" fillId="10" borderId="1" xfId="0" applyFont="1" applyFill="1" applyBorder="1" applyAlignment="1">
      <alignment vertical="top" wrapText="1"/>
    </xf>
    <xf numFmtId="0" fontId="21" fillId="10" borderId="1" xfId="0" applyFont="1" applyFill="1" applyBorder="1" applyAlignment="1">
      <alignment horizontal="left" vertical="top" wrapText="1"/>
    </xf>
    <xf numFmtId="1" fontId="21" fillId="10" borderId="1" xfId="0" applyNumberFormat="1" applyFont="1" applyFill="1" applyBorder="1" applyAlignment="1">
      <alignment horizontal="center" vertical="top" shrinkToFit="1"/>
    </xf>
    <xf numFmtId="0" fontId="21" fillId="18" borderId="1" xfId="0" applyFont="1" applyFill="1" applyBorder="1" applyAlignment="1">
      <alignment horizontal="left" vertical="top" wrapText="1"/>
    </xf>
    <xf numFmtId="0" fontId="21" fillId="18" borderId="3" xfId="0" applyFont="1" applyFill="1" applyBorder="1" applyAlignment="1">
      <alignment vertical="top" wrapText="1"/>
    </xf>
    <xf numFmtId="0" fontId="13" fillId="3" borderId="1" xfId="0" applyFont="1" applyFill="1" applyBorder="1" applyAlignment="1">
      <alignment horizontal="left" vertical="top" wrapText="1"/>
    </xf>
    <xf numFmtId="0" fontId="13" fillId="3" borderId="3" xfId="0" applyFont="1" applyFill="1" applyBorder="1" applyAlignment="1">
      <alignment vertical="top" wrapText="1"/>
    </xf>
    <xf numFmtId="0" fontId="21" fillId="3" borderId="1" xfId="0" applyFont="1" applyFill="1" applyBorder="1" applyAlignment="1">
      <alignment horizontal="left" vertical="top" wrapText="1"/>
    </xf>
    <xf numFmtId="0" fontId="2" fillId="23" borderId="3" xfId="0" applyFont="1" applyFill="1" applyBorder="1" applyAlignment="1">
      <alignment vertical="top" wrapText="1"/>
    </xf>
    <xf numFmtId="0" fontId="14" fillId="6" borderId="1" xfId="0" applyFont="1" applyFill="1" applyBorder="1" applyAlignment="1">
      <alignment horizontal="left" wrapText="1"/>
    </xf>
    <xf numFmtId="0" fontId="24" fillId="7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13" fillId="3" borderId="15" xfId="0" applyFont="1" applyFill="1" applyBorder="1" applyAlignment="1">
      <alignment horizontal="left" vertical="center" wrapText="1"/>
    </xf>
    <xf numFmtId="0" fontId="14" fillId="3" borderId="15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center" vertical="top" wrapText="1"/>
    </xf>
    <xf numFmtId="0" fontId="14" fillId="3" borderId="17" xfId="0" applyFont="1" applyFill="1" applyBorder="1" applyAlignment="1"/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/>
    <xf numFmtId="0" fontId="21" fillId="6" borderId="3" xfId="0" applyFont="1" applyFill="1" applyBorder="1" applyAlignment="1">
      <alignment horizontal="center" vertical="top" wrapText="1"/>
    </xf>
    <xf numFmtId="0" fontId="14" fillId="6" borderId="4" xfId="0" applyFont="1" applyFill="1" applyBorder="1" applyAlignment="1"/>
    <xf numFmtId="0" fontId="14" fillId="8" borderId="3" xfId="0" applyFont="1" applyFill="1" applyBorder="1" applyAlignment="1">
      <alignment horizontal="center"/>
    </xf>
    <xf numFmtId="0" fontId="14" fillId="8" borderId="2" xfId="0" applyFont="1" applyFill="1" applyBorder="1" applyAlignment="1"/>
    <xf numFmtId="0" fontId="14" fillId="8" borderId="4" xfId="0" applyFont="1" applyFill="1" applyBorder="1" applyAlignment="1"/>
    <xf numFmtId="0" fontId="21" fillId="9" borderId="3" xfId="0" applyFont="1" applyFill="1" applyBorder="1" applyAlignment="1">
      <alignment horizontal="center" vertical="top" wrapText="1"/>
    </xf>
    <xf numFmtId="0" fontId="14" fillId="9" borderId="2" xfId="0" applyFont="1" applyFill="1" applyBorder="1" applyAlignment="1"/>
    <xf numFmtId="0" fontId="14" fillId="9" borderId="4" xfId="0" applyFont="1" applyFill="1" applyBorder="1" applyAlignment="1"/>
    <xf numFmtId="0" fontId="21" fillId="14" borderId="3" xfId="0" applyFont="1" applyFill="1" applyBorder="1" applyAlignment="1">
      <alignment horizontal="left" vertical="top" wrapText="1"/>
    </xf>
    <xf numFmtId="0" fontId="14" fillId="14" borderId="4" xfId="0" applyFont="1" applyFill="1" applyBorder="1" applyAlignment="1"/>
    <xf numFmtId="0" fontId="21" fillId="13" borderId="3" xfId="0" applyFont="1" applyFill="1" applyBorder="1" applyAlignment="1">
      <alignment horizontal="center" vertical="top" wrapText="1"/>
    </xf>
    <xf numFmtId="0" fontId="14" fillId="13" borderId="2" xfId="0" applyFont="1" applyFill="1" applyBorder="1" applyAlignment="1">
      <alignment horizontal="center"/>
    </xf>
    <xf numFmtId="0" fontId="21" fillId="16" borderId="3" xfId="0" applyFont="1" applyFill="1" applyBorder="1" applyAlignment="1">
      <alignment horizontal="center" vertical="top" wrapText="1"/>
    </xf>
    <xf numFmtId="0" fontId="14" fillId="16" borderId="4" xfId="0" applyFont="1" applyFill="1" applyBorder="1" applyAlignment="1"/>
    <xf numFmtId="0" fontId="14" fillId="16" borderId="2" xfId="0" applyFont="1" applyFill="1" applyBorder="1" applyAlignment="1"/>
    <xf numFmtId="0" fontId="21" fillId="18" borderId="3" xfId="0" applyFont="1" applyFill="1" applyBorder="1" applyAlignment="1">
      <alignment horizontal="center" vertical="top" wrapText="1"/>
    </xf>
    <xf numFmtId="0" fontId="21" fillId="18" borderId="4" xfId="0" applyFont="1" applyFill="1" applyBorder="1" applyAlignment="1">
      <alignment horizontal="center" vertical="top" wrapText="1"/>
    </xf>
    <xf numFmtId="0" fontId="21" fillId="18" borderId="7" xfId="0" applyFont="1" applyFill="1" applyBorder="1" applyAlignment="1">
      <alignment horizontal="center" vertical="top" wrapText="1"/>
    </xf>
    <xf numFmtId="0" fontId="21" fillId="18" borderId="10" xfId="0" applyFont="1" applyFill="1" applyBorder="1" applyAlignment="1">
      <alignment horizontal="center" vertical="top" wrapText="1"/>
    </xf>
    <xf numFmtId="0" fontId="23" fillId="6" borderId="9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vertical="center"/>
    </xf>
    <xf numFmtId="0" fontId="14" fillId="6" borderId="10" xfId="0" applyFont="1" applyFill="1" applyBorder="1" applyAlignment="1">
      <alignment vertical="center"/>
    </xf>
    <xf numFmtId="0" fontId="14" fillId="6" borderId="8" xfId="0" applyFont="1" applyFill="1" applyBorder="1" applyAlignment="1">
      <alignment vertical="center"/>
    </xf>
    <xf numFmtId="0" fontId="14" fillId="6" borderId="11" xfId="0" applyFont="1" applyFill="1" applyBorder="1" applyAlignment="1">
      <alignment vertical="center"/>
    </xf>
    <xf numFmtId="0" fontId="14" fillId="6" borderId="12" xfId="0" applyFont="1" applyFill="1" applyBorder="1" applyAlignment="1">
      <alignment vertical="center"/>
    </xf>
    <xf numFmtId="0" fontId="4" fillId="0" borderId="0" xfId="0" applyFont="1" applyAlignment="1">
      <alignment horizontal="left" wrapText="1"/>
    </xf>
    <xf numFmtId="0" fontId="0" fillId="0" borderId="0" xfId="0" applyAlignment="1"/>
    <xf numFmtId="0" fontId="5" fillId="23" borderId="3" xfId="0" applyFont="1" applyFill="1" applyBorder="1" applyAlignment="1">
      <alignment horizontal="center" vertical="top" wrapText="1"/>
    </xf>
    <xf numFmtId="0" fontId="4" fillId="23" borderId="2" xfId="0" applyFont="1" applyFill="1" applyBorder="1" applyAlignment="1"/>
    <xf numFmtId="0" fontId="4" fillId="23" borderId="4" xfId="0" applyFont="1" applyFill="1" applyBorder="1" applyAlignment="1"/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/>
    <xf numFmtId="0" fontId="5" fillId="7" borderId="3" xfId="0" applyFont="1" applyFill="1" applyBorder="1" applyAlignment="1">
      <alignment horizontal="center" vertical="top" wrapText="1"/>
    </xf>
    <xf numFmtId="0" fontId="4" fillId="7" borderId="2" xfId="0" applyFont="1" applyFill="1" applyBorder="1" applyAlignment="1"/>
    <xf numFmtId="0" fontId="4" fillId="7" borderId="4" xfId="0" applyFont="1" applyFill="1" applyBorder="1" applyAlignment="1"/>
    <xf numFmtId="0" fontId="10" fillId="12" borderId="3" xfId="0" applyFont="1" applyFill="1" applyBorder="1" applyAlignment="1">
      <alignment horizontal="center" vertical="top" wrapText="1"/>
    </xf>
    <xf numFmtId="0" fontId="10" fillId="12" borderId="2" xfId="0" applyFont="1" applyFill="1" applyBorder="1" applyAlignment="1">
      <alignment horizontal="center" vertical="top" wrapText="1"/>
    </xf>
    <xf numFmtId="0" fontId="10" fillId="1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C6F6F"/>
      <color rgb="FFFF3D3D"/>
      <color rgb="FF631C7A"/>
      <color rgb="FFE7D2F9"/>
      <color rgb="FFECCFF1"/>
      <color rgb="FFE0D5FE"/>
      <color rgb="FFF0CBF1"/>
      <color rgb="FF8611AF"/>
      <color rgb="FF9B13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078937007874016"/>
          <c:y val="0.17171296296296298"/>
          <c:w val="0.8269884076990375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Planilha8!$C$8</c:f>
              <c:strCache>
                <c:ptCount val="1"/>
                <c:pt idx="0">
                  <c:v>Valor Máximo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Planilha8!$B$9:$B$14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Planilha8!$C$9:$C$14</c:f>
              <c:numCache>
                <c:formatCode>#,##0.00</c:formatCode>
                <c:ptCount val="6"/>
                <c:pt idx="0">
                  <c:v>24000</c:v>
                </c:pt>
                <c:pt idx="1">
                  <c:v>24120</c:v>
                </c:pt>
                <c:pt idx="2">
                  <c:v>24240</c:v>
                </c:pt>
                <c:pt idx="3">
                  <c:v>24361</c:v>
                </c:pt>
                <c:pt idx="4">
                  <c:v>24483.61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F-4316-BC4E-9A0B6FAD41B3}"/>
            </c:ext>
          </c:extLst>
        </c:ser>
        <c:ser>
          <c:idx val="1"/>
          <c:order val="1"/>
          <c:tx>
            <c:strRef>
              <c:f>Planilha8!$D$8</c:f>
              <c:strCache>
                <c:ptCount val="1"/>
                <c:pt idx="0">
                  <c:v>Valor Mínimo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Planilha8!$B$9:$B$14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Planilha8!$D$9:$D$14</c:f>
              <c:numCache>
                <c:formatCode>#,##0.00</c:formatCode>
                <c:ptCount val="6"/>
                <c:pt idx="0">
                  <c:v>22980</c:v>
                </c:pt>
                <c:pt idx="1">
                  <c:v>23014</c:v>
                </c:pt>
                <c:pt idx="2">
                  <c:v>23129.57</c:v>
                </c:pt>
                <c:pt idx="3">
                  <c:v>23254</c:v>
                </c:pt>
                <c:pt idx="4">
                  <c:v>23361.45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F-4316-BC4E-9A0B6FAD41B3}"/>
            </c:ext>
          </c:extLst>
        </c:ser>
        <c:ser>
          <c:idx val="2"/>
          <c:order val="2"/>
          <c:tx>
            <c:strRef>
              <c:f>Planilha8!$E$8</c:f>
              <c:strCache>
                <c:ptCount val="1"/>
                <c:pt idx="0">
                  <c:v>Fechamento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Planilha8!$B$9:$B$14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Planilha8!$E$9:$E$14</c:f>
              <c:numCache>
                <c:formatCode>#,##0.00</c:formatCode>
                <c:ptCount val="6"/>
                <c:pt idx="0">
                  <c:v>23900.799999999999</c:v>
                </c:pt>
                <c:pt idx="1">
                  <c:v>24019</c:v>
                </c:pt>
                <c:pt idx="2">
                  <c:v>24139.599999999999</c:v>
                </c:pt>
                <c:pt idx="3">
                  <c:v>24260</c:v>
                </c:pt>
                <c:pt idx="4">
                  <c:v>24381.599999999999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F-4316-BC4E-9A0B6FAD41B3}"/>
            </c:ext>
          </c:extLst>
        </c:ser>
        <c:ser>
          <c:idx val="3"/>
          <c:order val="3"/>
          <c:tx>
            <c:strRef>
              <c:f>Planilha8!$F$8</c:f>
              <c:strCache>
                <c:ptCount val="1"/>
                <c:pt idx="0">
                  <c:v>Abertura do Pregão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Planilha8!$B$9:$B$14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Planilha8!$F$9:$F$14</c:f>
              <c:numCache>
                <c:formatCode>#,##0.00</c:formatCode>
                <c:ptCount val="6"/>
                <c:pt idx="0">
                  <c:v>23000</c:v>
                </c:pt>
                <c:pt idx="1">
                  <c:v>23115</c:v>
                </c:pt>
                <c:pt idx="2">
                  <c:v>23230.58</c:v>
                </c:pt>
                <c:pt idx="3">
                  <c:v>23346.73</c:v>
                </c:pt>
                <c:pt idx="4">
                  <c:v>23463.46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BF-4316-BC4E-9A0B6FAD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7516912"/>
        <c:axId val="1327519312"/>
      </c:barChart>
      <c:catAx>
        <c:axId val="132751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7519312"/>
        <c:crosses val="autoZero"/>
        <c:auto val="1"/>
        <c:lblAlgn val="ctr"/>
        <c:lblOffset val="100"/>
        <c:noMultiLvlLbl val="0"/>
      </c:catAx>
      <c:valAx>
        <c:axId val="13275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751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" cy="571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9</xdr:col>
      <xdr:colOff>276225</xdr:colOff>
      <xdr:row>0</xdr:row>
      <xdr:rowOff>38100</xdr:rowOff>
    </xdr:from>
    <xdr:ext cx="57150" cy="57150"/>
    <xdr:sp macro="" textlink="">
      <xdr:nvSpPr>
        <xdr:cNvPr id="3" name="Shape 1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255769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10</xdr:col>
      <xdr:colOff>276225</xdr:colOff>
      <xdr:row>0</xdr:row>
      <xdr:rowOff>38100</xdr:rowOff>
    </xdr:from>
    <xdr:ext cx="57150" cy="57150"/>
    <xdr:sp macro="" textlink="">
      <xdr:nvSpPr>
        <xdr:cNvPr id="3" name="Shape 1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265295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2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7</xdr:col>
      <xdr:colOff>276225</xdr:colOff>
      <xdr:row>0</xdr:row>
      <xdr:rowOff>38100</xdr:rowOff>
    </xdr:from>
    <xdr:ext cx="57150" cy="57150"/>
    <xdr:sp macro="" textlink="">
      <xdr:nvSpPr>
        <xdr:cNvPr id="3" name="Shape 2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9732270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3</xdr:col>
      <xdr:colOff>0</xdr:colOff>
      <xdr:row>29</xdr:row>
      <xdr:rowOff>0</xdr:rowOff>
    </xdr:from>
    <xdr:ext cx="304800" cy="314325"/>
    <xdr:sp macro="" textlink="">
      <xdr:nvSpPr>
        <xdr:cNvPr id="8193" name="AutoShape 1" descr="data:image/png;base64,iVBORw0KGgoAAAANSUhEUgAAB9AAAAsOCAYAAAB1rNNSAAAQAElEQVR4AezdB7zP1R/H8c/PJbSUJpWG9i5FoaIyMjKSnV2ZWaGMkFFm9g5JRlEyUiQqaZGGSlFKQ9KgpX+h/+99+H79fndw9/3d73318P3d7zzfc57nfL9XPuecX67/+A8BBBBAAAEEEEAAAQQQQAABBIIuQPkQQAABBBBAAAEEEEAAAQQQQCAZArksW/9H5hFAAAEEEEAAAQQQQAABBBBAIPgClBABBBBAAAEEEEAAAQQQQACBzBEggJ45zonfhb0IIIAAAggggAACCCCAAAIIIBB8AUqIAAIIIIAAAggggAACCCCQbQQIoGebqoq9jJIjBBBAAAEEEEAAAQQQQAABBBAIvgAlRAABBBBAAAEEEEAAAQRykgAB9JxU25Q1UoB1BBBAAAEEEEAAAQQQQAABBBAIvgAlRAABBBBAAAEEEEAAAQRSJEAAPUVcnIxArAiQDwQQQAABBBBAAAEEEEAAAQQQCL4AJUQAAQQQQAABBBBAAIHMFiCAntni3A8BBMwwQAABBBBAAAEEEEAAAQQQQACB4AtQQgQQQAABBBBAAAEEsqEAAfRsWGlkGQEEslaAuyOAAAIIIIAAAggggAACCCCAQPAFKCECCCCAAAIIIIBAzhQggJ4z651SI4BAzhWg5AgggAACCCCAAAIIIIAAAgggEHwBSogAAggggAACCCCQSgEC6KmE4zIEEEAAgawQ4J4IIIAAAggggAACCCCAAAIIIBB8AUqIAAIIIIAAAghknQAB9Kyz584IIIAAAjlNgPIigAACCCCAAAIIIIAAAggggEDwBSghAggggAACCGRrAQLo2br6yDwCCCCAAAKZJ8CdEEAAAQQQQAABBBBAAAEEEEAg+AKUEAEEEEAAgZwuQAA9p7cAyo8AAggggEDOEKCUCCCAAAIIIIAAAggggAACCCAQfAFKiAACCCCAQJoFCKCnmZAEEEAAAQQQQACBjBYgfQQQQAABBBBAAAEEEEAAAQQQCL4AJUQAAQQQiAUBAuixUAvkAQEEEEAAAQQQCLIAZUMAAQQQQAABBBBAAAEEEEAAgeALUEIEEEAgIAIE0ANSkRQDAQQQQAABBBBAIGMESBUBBBBAAAEEEEAAAQQQQAABBIIvQAkRQAABT4AAuifBTwQQQAABBBBAAAEEgidAiRBAAAEEEEAAAQQQQAABBBBAIPgClBABBNJRgAB6OmKSFAIIIIAAAggggAACCKSnAGkhgAACCCCAAAIIIIAAAggggEDwBSghArElQAA9tuqD3CCAAAIIIIAAAggggEBQBCgHAggggAACCCCAAAIIIIAAAggEX4ASBk6AAHrgqpQCIYAAAggggAACCCCAAAJpFyAFBBBAAAEEEEAAAQQQQAABBBAIvgAlTChAAD2hCXsQQAABBBBAAAEEEEAAAQSytwC5RwABBBBAAAEEEEAAAQQQQACB4AtkSAkJoGcIK4kigAACCCCAAAIIIIAAAgggkFoBrkMAAQQQQAABBBBAAAEEEEAAgawSyLwAelaVkPsigAACCCCAAAIIIIAAAggggEDmCXAnBBBAAAEEEEAAAQQQQAABBLKxAAH0ZFYepyGAAAIIIIAAAggggAACCCCAQPAFKCECCCCAAAIIIIAAAggggEDOFiCAnjPqn1IigAACCCCAAAIIIIAAAggggEDwBSghAggggAACCCCAAAIIIIBAGgUIoKcRkMszQ4B7IIAAAggggAACCCCAAAIIIIBA8AUoIQIIIIAAAggggAACCCCQ9QIE0LO+DshB0AUoHwIIIIAAAggggAACCCCAAAIIBF+AEiKAAAIIIIAAAggggEAgBAigB6IaKQQCGSdAyggggAACCCCAAAIIIIAAAgggEHwBSogAAggggAACCCCAAAL7BQig73fgEwEEgilAqRBAAAEEEEAAAQQQQAABBBBAIPgClBABBBBAAAEEEEAAgXQTIICebpQkhAACCKS3AOkhgAACCCCAAAIIIIAAAggggEDwBSghAggggAACCCCAQCwJEECPpdogLwgggECQBCgLAggggAACCCCAAAIIIIAAAggEX4ASIoAAAggggAACARMggB6wCqU4CCCAAALpI0AqCCCAAAIIIIAAAggggAACCCAQfAFKiAACCCCAAAIIxBcggB5fhG0EEEAAAQSyvwAlQAABBBBAAAEEEEAAAQQQQACB4AtQQgQQQAABBBDIAAEC6BmASpIIIIAAAgggkBYBrkUAAQQQQAABBBBAAAEEEEAAgeALUEIEEEAAAQRiU4AAemzWC7lCAAEEEEAAgewqQL4RQAABBBBAAAEEEEAAAQQQQCD4ApQQAQQQQCCwAgTQA1u1FAwBBBBAAAEEEEi5AFcggAACCCCAAAIIIIAAAggggEDwBSghAggggEDSAgTQk7bhCAIIIIAAAggggED2EiC3CCCAAAIIIIAAAggggAACCCAQfAFKiAACCGSoAAH0DOUlcQQQQAABBBBAAAEEkivAeQgggAACCCCAAAIIIIAAAgggEHwBSogAArEuQAA91muI/CGAAAIIIIAAAgggkB0EyCMCCCCAAAIIIIAAAggggAACCARfgBIikAMECKDngEqmiAgggAACCCCAAAIIIHBoAY4igAACCCCAAAIIIIAAAggggEDwBSghAskRIICeHCXOQQABBBBAAAEEEEAAAQRiV4CcIYAAAggggAACCCCAAAIIIIBA8AUoYSYJEEDPJGhugwACCCCAAAIIIIAAAgggkJgA+xBAAAEEEEAAAQQQQAABBBBAIPgC2aeEBNCzT12RUwQQQAABBBBAAAEEEEAAgVgTID8IIIAAAggggAACCCCAAAIIIBAogUQD6IEqIYVBAAEEEEAAAQQQQAABBBBAAIFEBdiJAAIIIIAAAggggAACCCCAAALRAkEMoEeXkC0EEEAAAQQQQAABBBBAAAEEEAiiAGVCAAEEEEAAAQQQQAABBBBAIN0FCKCnO2laE+R6BBBAAAEEEEAAAQQQQAABBBAIvgAlRAABBBBAAAEEEEAAAQQQiEUBAuixWCvZOU/kHQEEEEAAAQQQQAABBBBAAAEEgi9ACRFAAAEEEEAAAQQQQACBgAoQQA9oxVKs1AlwFQIIIIAAAggggAACCCCAAAIIBF+AEiKAAAIIIIAAAggggAACSQkQQE9Khv0IZD8BcowAAggggAACCCCAAAIIIIAAAsEXoIQIIIAAAggggAACCCCQgQIE0DMQl6QRQCAlApyLAAIIIIAAAggggAACCCCAAALBF6CECCCAAAIIIIAAAgjEtgAB9NiuH3KHAALZRYB8IoAAAggggAACCCCAAAIIIIBA8AUoIQIIIIAAAggggEDgBQigB76KKSACCCBweAHOQAABBBBAAAEEEEAAAQQQQACB4AtQQgQQQAABBBBAAIHDCxBAP7wRZyCAAAIIxLYAuUMAAQQQQAABBBBAAAEEEEAAgeALUEIEEEAAAQQQQCBTBAigZwozN0EAAQQQQCApAfYjgAACCCCAAAIIIIAAAggggEDwBSghAggggAACCGQXAQLo2aWmyCcCCCCAAAKxKECeEEAAAQQQQAABBBBAAAEEEEAg+AKUEAEEEEAAgRwkQAA9B1U2RUUAAQQQQACBaAG2EEAAAQQQQAABBBBAAAEEEEAg+AKUEAEEEEAAgZQIEEBPiRbnIoAAAggggAACsSNAThBAAAEEEEAAAQQQQAABBBBAIPgClBABBBBAIJMFCKBnMji3QwABBBBAAAEEEJAACwIIIIAAAggggAACCCCAAAIIBF+AEiKAAALZT4AAevarM3KMAAIIIIAAAgggkNUC3B8BBBBAAAEEEEAAAQQQQAABBIIvQAkRQCBHChBAz5HVTqERQAABBBBAAAEEcrIAZUcAAQQQQAABBBBAAAEEEEAAgeALUEIEEEidAAH01LlxFQIIIIAAAggggAACCGSNAHdFAAEEEEAAAQQQQAABBBBAAIHgC1BCBLJMgAB6ltFzYwQQQAABBBBAAAEEEMh5ApQYAQQQQAABBBBAAAEEEEAAAQSCL0AJs7MAAfTsXHvkHQEEEEAAAQQQQAABBBDITAHuhQACCCCAAAIIIIAAAggggAACwRfI4SUkgJ7DGwDFRwABBBBAAAEEEEAAAQRyigDlRAABBBBAAAEEEEAAAQQQQACB4AuktYQE0NMqyPUIIIAAAggggAACCCCAAAIIZLwAd0AAAQQQQAABBBBAAAEEEEAAgUwQyOIAeiaUkFsggAACCCCAAAIIIIAAAggggEAWC3B7BBBAAAEEEEAAAQQQQAABBLKHAAH0tNQT1yKAAAIIIIAAAggggAACCCCAQPAFKCECCCCAAAIIIIAAAggggECOESCAnmOqOmFB2YMAAggggAACCCCAAAIIIIAAAsEXoIQIIIAAAggggAACCCCAAALJFyCAnnwrzowtAXKDAAIIIIAAAggggAACCCCAAALBF6CECCCAAAIIIIAAAggggECmChBAz1RuboaAJ8BPBBBAAAEEEEAAAQQQQAABBBAIvgAlRAABBBBAAAEEEEAAgewmQAA9u9UY+UUgFgTIAwIIIIAAAggggAACCCCAAAIIBF+AEiKAAAIIIIAAAgggkAMFCKDnwEqnyAjkdAHKjwACCCCAAAIIIIAAAggggAACwReghAgggAACCCCAAAIIpEaAAHpq1LgGAQQQyDoB7owAAggggAACCCCAAAIIIIAAAsEXoIQIIIAAAggggAACWSRAAD2L4LktAgggkDMFKDUCCCCAAAIIIIAAAggggAACCARfgBIigAACCCCAAALZV4AAevatO3KOAAIIIJDZAtwPAQQQQAABBBBAAAEEEEAAAQSCL0AJEUAAAQQQQCBHCxBAz9HVT+ERQAABBHKSAGVFAAEEEEAAAQQQQAABBBBAAIHgC1BCBBBAAAEEEEibAAH0tPlxNQIIIIAAAghkjgB3QQABBBBAAAEEEEAAAQQQQACB4AtQQgQQQAABBLJcgAB6llcBGUAAAQQQQACB4AtQQgQQQAABBBBAAAEEEEAAAQQQCL4AJUQAAQQQCIIAAfQg1CJlQAABBBBAAAEEMlKAtBFAAAEEEEAAAQQQQAABBBBAIPgClBABBBBAwAkQQHcMfCCAAAIIIIAAAggEVYByIYAAAggggAACCCCAAAIIIIBA8AUoIQIIIJBeAgTQ00uSdBBAAAEEEEAAAQQQSH8BUkQAAQQQQAABBBBAAAEEEEAAgeALUEIEEIghAQLoMVQZZAUBBBBAAAEEEEAAgWAJUBoEEEAAAQQQQAABBBBAAAEEEAi+ACVEIFgCBNCDVZ+UBgEEEEAAAQQQQAABBNJLgHQQQAABBBBAAAEEEEAAAQQQQCD4ApQQgXgCBNDjgbCJAAIIIIAAAggggAACCARBgDIggAACCCCAAAIIIIAAAggggEDwBShh+gsQQE9/U1JEAAEEEEAAAQQQQAABBBBIQWFvUgAAEABJREFUmwBXI4AAAggggAACCCCAAAIIIIBA8AVisoQE0GOyWsgUAggggAACCCCAAAIIIIBA9hUg5wgggAACCCCAAAIIIIAAAgggkF0Fkh9Az64lJN8IIIAAAggggAACCCCAAAIIIJB8Ac5EAAEEEEAAAQQQQAABBBBAIAcL5JgAeg6uY4qOAAIIIIAAAggggAACCCCAQI4RoKAIIIAAAggggAACCCCAAAIIpEWAAHpa9DLvWu6EAAIIIIAAAggggAACCCCAAALBF6CECCCAAAIIIIAAAggggAACWSxAAD2LKyBn3J5SIoAAAggggAACCCCAAAIIIIBA8AUoIQIIIIAAAggggAACCCCQ/QUIoGf/OqQEGS1A+ggggAACCCCAAAIIIIAAAgggEHwBSogAAggggAACCCCAAAIIhAUIoIcR+INAkAUoGwIIIIAAAggggAACCCCAAAIIBF+AEiKAAAIIIIAAAggggED6CBBATx9HUkEAgYwRIFUEEEAAAQQQQAABBBBAAAEEEAi+ACVEAAEEEEAAAQQQQCBmBAigx0xVkBEEEAieACVCAAEEEEAAAQQQQAABBBBAAIHgC1BCBBBAAAEEEEAAgSAJEEAPUm1SFgQQQCA9BUgLAQQQQAABBBBAAAEEEEAAAQSCL0AJEUAAAQQQQAABBKIECKBHcbCBAAIIIBAUAcqBAAIIIIAAAggggAACCCCAAALBF6CECCCAAAIIIIBAegsQQE9vUdJDAAEEEEAg7QKkgAACCCCAAAIIIIAAAggggAACwReghAgggAACCCAQgwIE0GOwUsgSAggggAAC2VuA3COAAAIIIIAAAggggAACCCCAQPAFKCECCCCAAALBFCCAHsx6pVQIIIAAAgggkFoBrkMAAQQQQAABBBBAAAEEEEAAgeALUEIEEEAAAQSSECCAngQMuxFAAAEEEEAAgewoQJ4RQAABBBBAAAEEEEAAAQQQQCD4ApQQAQQQQCDjBAigZ5wtKSOAAAIIIIAAAgikTICzEUAAAQQQQAABBBBAAAEEEEAg+AKUEAEEEIhpAQLoMV09ZA4BBBBAAAEEEEAg+wiQUwQQQAABBBBAAAEEEEAAAQQQCL4AJUQAgaALEEAPeg1TPgQQQAABBBBAAAEEkiPAOQgggAACCCCAAAIIIIAAAgggEHwBSogAAocVIIB+WCJOQAABBBBAAAEEEEAAgVgXIH8IIIAAAggggAACCCCAAAIIIBB8AUqIQGYIEEDPDGXugQACCCCAAAIIIIAAAggkLcARBBBAAAEEEEAAAQQQQAABBBAIvgAlzCYCBNCzSUWRTQQQQAABBBBAAAEEEEAgNgXIFQIIIIAAAggggAACCCCAAAIIBF8g55SQAHrOqWtKigACCCCAAAIIIIAAAgggEF+AbQQQQAABBBBAAAEEEEAAAQQQCL5ACkpIAD0FWJyKAAIIIIAAAggggAACCCCAQCwJkBcEEEAAAQQQQAABBBBAAAEEEEhfgVgMoKdvCUkNAQQQQAABBBBAAAEEEEAAAQRiUYA8IYAAAggggAACCCCAAAIIIBBzAgTQ071KSBABBBBAAAEEEEAAAQQQQAABBIIvQAkRQAABBBBAAAEEEEAAAQSCKEAAPYi1mpYycS0CCCCAAAIIIIAAAggggAACCARfgBIigAACCCCAAAIIIIAAAggkKkAAPVEWdmZXAfKNAAIIIIAAAggggAACCCCAAALBF6CECCCAAAIIIIAAAggggEBGCRBAzyhZ0kUg5QJcgQACCCCAAAIIIIAAAggggAACwReghAgggAACCCCAAAIIIBDDAgTQY7hyyBoC2UuA3CKAAAIIIIAAAggggAACCCCAQPAFKCECCCCAAAIIIIAAAsEWIIAe7PqldAggkFwBzkMAAQQQQAABBBBAAAEEEEAAgeALUEIEEEAAAQQQQAABBA4jQAD9MEAcRgABBLKDAHlEAAEEEEAAAQQQQAABBBBAAIHgC1BCBBBAAAEEEEAAgYwXIICe8cbcAQEEEEDg0AIcRQABBBBAAAEEEEAAAQQQQACB4AtQQgQQQAABBBBAIFsIEEDPFtVEJhFAAAEEYleAnCGAAAIIIIAAAggggAACCCCAQPAFKCECCCCAAAII5BQBAug5paYpJwIIIIAAAokJsA8BBBBAAAEEEEAAAQQQQAABBIIvQAkRQAABBBBAINkCBNCTTcWJCCCAAAIIIBBrAuQHAQQQQAABBBBAAAEEEEAAAQSCL0AJEUAAAQQQyEwBAuiZqc29EEAAAQQQQACBgwKsIYAAAggggAACCCCAAAIIIIBA8AUoIQIIIIBANhMggJ7NKozsIoAAAggggAACsSFALhBAAAEEEEAAAQQQQAABBBBAIPgClBABBBDIeQIE0HNenVNiBBBAAAEEEEAAAQQQQAABBBBAAAEEEEAAAQQQQCD4ApQQAQQQSIUAAfRUoHEJAggggAACCCCAAAJZKcC9EUAAAQQQQAABBBBAAAEEEEAg+AKUEAEEskaAAHrWuHNXBBBAAAEEEEAAAQRyqgDlRgABBBBAAAEEEEAAAQQQQACB4AtQQgSyrQAB9GxbdWQcAQQQQAABBBBAAAEEMl+AOyKAAAIIIIAAAggggAACCCCAQPAFKGFOFiCAnpNrn7IjgAACCCCAAAIIIIBAzhKgtAgggAACCCCAAAIIIIAAAgggEHwBSpgmAQLoaeLjYgQQQAABBBBAAAEEEEAAgcwS4D4IIIAAAggggAACCCCAAAIIIBB8gawuIQH0rK4B7o8AAggggAACCCCAAAIIIJATBCgjAggggAACCCCAAAIIIIAAAghkA4E0BtCzQQnJIgIIIIAAAggggAACCCCAAAIIpFGAyxFAAAEEEEAAAQQQQAABBBDIGQI5O4CeM+qYUiKAAAIIIIAAAggggAACCCCQswUoPQIIIIAAAggggAACCCCAAALJFCCAnkyoWDyNPCGAAAIIIIAAAggggAACCCCAQPAFKCECCCCAAAIIIIAAAggggEDmCRBAzzxr7hQtwBYCCCCAAAIIIIAAAggggAACCARfgBIigAACCCCAAAIIIIAAAtlKgAB6tqouMhs7AuQEAQQQQAABBBBAAAEEEEAAAQSCL0AJEUAAAQQQQAABBBBAIKcJEEDPaTVOeRGQAAsCCCCAAAIIIIAAAggggAACCARfgBIigAACCCCAAAIIIIBAigUIoKeYjAsQQCCrBbg/AggggAACCCCAAAIIIIAAAggEX4ASIoAAAggggAACCCCQFQIE0LNCnXsigEBOFqDsCCCAAAIIIIAAAggggAACCCAQfAFKiAACCCCAAAIIIJBNBQigZ9OKI9sIIIBA1ghwVwQQQAABBBBAAAEEEEAAAQQQCL4AJUQAAQQQQAABBHKuAAH0nFv3lBwBBBDIeQKUGAEEEEAAAQQQQAABBBBAAAEEgi9ACRFAAAEEEEAAgTQIEEBPAx6XIoAAAgggkJkC3AsBBBBAAAEEEEAAAQQQQAABBIIvQAkRQAABBBBAIGsFCKBnrT93RwABBBBAIKcIUE4EEEAAAQQQQAABBBBAAAEEEAi+ACVEAAEEEEAg2wsQQM/2VUgBEEAAAQQQQCDjBbgDAggggAACCCCAAAIIIIAAAggEX4ASIoAAAgggYEYAnVaAAAIIIIAAAggEXYDyIYAAAggggAACCCCAAAIIIIBA8AUoIQIIIIBAuggQQE8XRhJBAAEEEEAAAQQQyCgB0kUAAQQQQAABBBBAAAEEEEAAgeALUEIEEEAgVgQIoMdKTZAPBBBAAAEEEEAAgSAKUCYEEEAAAQQQQAABBBBAAAEEEAi+ACVEAIEACRBAD1BlUhQEEEAAAQQQQAABBNJXgNQQQAABBBBAAAEEEEAAAQQQQCD4ApQQAQQiBQigR2qwjgACCCCAAAIIIIAAAsERoCQIIIAAAggggAACCCCAAAIIIBB8AUqIQDoLEEBPZ1CSQwABBBBAAAEEEEAAAQTSQ4A0EEAAAQQQQAABBBBAAAEEEEAg+AKUMPYECKDHXp2QIwQQQAABBBBAAAEEEEAguwuQfwQQQAABBBBAAAEEEEAAAQQQCL5AIEtIAD2Q1UqhEEAAAQQQQAABBBBAAAEEUi/AlQgggAACCCCAAAIIIIAAAgggEHyBxEtIAD1xF/YigAACCCCAAAIIIIAAAgggkD0FyDUCCCCAAAIIIIAAAggggAACCKRaINsE0FNdQi5EAAEEEEAAAQQQQAABBBBAAIFsI0BGEUAAAQQQQAABBBBAAAEEEMhKAQLomaPPXRBAAAEEEEAAAQQQQAABBBBAIPgClBABBBBAAAEEEEAAAQQQQCCbCxBAz+YVmDnZ5y4IIIAAAggggAACCCCAAAIIIBB8AUqIAAIIIIAAAggggAACCCBAAJ02EHwBSogAAggggAACCCCAAAIIIIAAAsEXoIQIIIAAAggggAACCCCAQDoIEEBPB0SSQCAjBUgbAQQQQAABBBBAAAEEEEAAAQSCL0AJEUAAAQQQQAABBBBAIDYECKDHRj2QCwSCKkC5EEAAAQQQQAABBBBAAAEEEEAg+AKUEAEEEEAAAQQQQACBwAgQQA9MVVIQBBBIfwFSRAABBBBAAAEEEEAAAQQQQACB4AtQQgQQQAABBBBAAAEEDgoQQD9owRoCCCAQLAFKgwACCCCAAAIIIIAAAggggAACwReghAgggAACCCCAAALpKkAAPV05SQwBBBBAIL0ESAcBBBBAAAEEEEAAAQQQQAABBIIvQAkRQAABBBBAAIFYEyCAHms1Qn4QQAABBIIgQBkQQAABBBBAAAEEEEAAAQQQQCD4ApQQAQQQQAABBAIoQAA9gJVKkRBAAAEEEEibAFcjgAACCCCAAAIIIIAAAggggEDwBSghAggggAACCCQmQAA9MRX2IYAAAggggED2FSDnCCCAAAIIIIAAAggggAACCCAQfAFKiAACCCCAQAYJEEDPIFiSRQABBBBAAAEEUiPANQgggAACCCCAAAIIIIAAAgggEHwBSogAAgggELsCBNBjt27IGQIIIIAAAgggkN0EyC8CCCCAAAIIIIAAAggggAACCARfgBIigAACgRYggB7o6qVwCCCAAAIIIIAAAskX4EwEEEAAAQQQQAABBBBAAAEEEAi+ACVEAAEEDi1AAP3QPhxFAAEEEEAAAQQQQCB7CJBLBBBAAAEEEEAAAQQQQAABBBAIvgAlRACBDBcggJ7hxNwAAQQQQAABBBBAAAEEDifAcQQQQAABBBBAAAEEEEAAAQQQCL4AJUQgOwgQQM8OtUQeEUAAAQQQQAABBBBAIJYFyBsCCCCAAAIIIIAAAggggAACCARfgBLmEAEC6DmkoikmAggggAACCCCAAAIIIJC4AHsRQAABBBBAAAEEEEAAAQQQQCD4ApQwuQIE0JMrxXkIIIAAAggggAACCCCAAAKxJ0COEEAAAQQQQAABBJsvn7oAABAASURBVBBAAAEEEEAg+AKZWEIC6JmIza0QQAABBBBAAAEEEEAAAQQQiBRgHQEEEEAAAQQQQAABBBBAAAEEYksgIwLosVVCcoMAAggggAACCCCAAAIIIIAAAhkhQJoIIIAAAggggAACCCCAAAIIBE6AAHqCKmUHAggggAACCCCAAAIIIIAAAggEX4ASIoAAAggggAACCCCAAAIIIJBQgAB6QpPsvYfcI4AAAggggAACCCCAAAIIIIBA8AUoIQIIIIAAAggggAACCCCAQIYIEEDPEFYSTa0A1yGAAAIIIIAAAggggAACCCCAQPAFKCECCCCAAAIIIIAAAgggEKsCBNBjtWbIV3YUIM8IIIAAAggggAACCCCAAAIIIBB8AUqIAAIIIIAAAggggAACARYggB7gyqVoCKRMgLMRQAABBBBAAAEEEEAAAQQQQCD4ApQQAQQQQAABBBBAAAEEDiVAAP1QOhxDAIHsI0BOEUAAAQQQQAABBBBAAAEEEEAg+AKUEAEEEEAAAQQQQACBDBYggJ7BwCSPAAIIJEeAcxBAAAEEEEAAAQQQQAABBBBAIPgClBABBBBAAAEEEEAg9gUIoMd+HZFDBBBAINYFyB8CCCCAAAIIIIAAAggggAACCARfgBIigAACCCCAAAI5QoAAeo6oZgqJAAIIIJC0AEcQQAABBBBAAAEEEEAAAQQQQCD4ApQQAQQQQAABBBBIngAB9OQ5cRYCCCCAAAKxKUCuEEAAAQQQQAABBBBAAAEEEEAg+AKUEAEEEEAAAQQyTYAAeqZRcyMEEEAAAQQQiC/ANgIIIIAAAggggAACCCCAAAIIBF+AEiKAAAIIIJCdBAigZ6faIq8IIIAAAgggEEsC5AUBBBBAAAEEEEAAAQQQQAABBIIvQAkRQAABBHKYAAH0HFbhFBcBBBBAAAEEENgvwCcCCCCAAAIIIIAAAggggAACCARfgBIigAACCKRUgAB6SsU4HwEEEEAAAQQQQCDrBcgBAggggAACCCCAAAIIIIAAAggEX4ASIoAAAlkgQAA9C9C5JQIIIIAAAggggEDOFqD0CCCAAAIIIIAAAggggAACCCAQfAFKiAAC2VOAAHr2rDdyjQACCCCAAAIIIIBAVglwXwQQQAABBBBAAAEEEEAAAQQQCL4AJUQgxwoQQM+xVU/BEUAAAQQQQAABBBDIiQKUGQEEEEAAAQQQQAABBBBAAAEEgi9ACRFIvQAB9NTbcSUCCCCAAAIIIIAAAgggkLkC3A0BBBBAAAEEEEAAAQQQQAABBIIvQAmzVIAAepbyc3MEEEAAAQQQQAABBBBAIOcIUFIEEEAAAQQQQAABBBBAAAEEEAi+QHYvIQH07F6D5B8BBBBAAAEEEEAAAQQQQCAzBLgHAggggAACCCCAAAIIIIAAAggEX8AIoOeASqaICCCAAAIIIIAAAggggAACOV2A8iOAAAIIIIAAAggggAACCCCAQHIEsncAPTkl5BwEEEAAAQQQQAABBBBAAAEEEMjeAuQeAQQQQAABBBBAAAEEEEAAgUwSIICeSdCJ3YZ9CCCAAAIIIIAAAggggAACCCAQfAFKiAACCCCAAAIIIIAAAgggkH0ECKBnn7qKtZySHwQQQAABBBBAAAEEEEAAAQQQCL4AJUQAAQQQQAABBBBAAAEEcpQAAfQcVd0U9qAAawgggAACCCCAAAIIIIAAAgggEHwBSogAAggggAACCCCAAAIIpEyAAHrKvDgbgdgQIBcIIIAAAggggAACCCCAAAIIIBB8AUqIAAIIIIAAAggggAACmS5AAD3TybkhAggggAACCCCAAAIIIIAAAggggAACwReghAgggAACCCCAAAIIZEcBAuhpqLV9+/bZ9u3b7ffff09y2bFjh+3du9e/i871N8IrSkP70rL89ttvtm3btiTzkJa0U3Kt8rF58+aYyMemTZts586dWZ6XX3/91X755Zcsz4fq5ssvv4yJfMRCG1G71jOTyjaSro6qG+VFecrKRfmIhbpRPnh+o3+nyITnN9pEzwzP70ETtRGe34Meepfy+zfaI1baiOqG5zc260ZthN+/CesmVkxUP1988UW6/h1Uz2NqFr1ff/zxx5jIyzfffBMT/8+n+omF38OqT+VF71mtZ/Xy/fffUz/x/q1I9fPdd9/FxPOjf8uKlb9Px8r7TfWTyP93ZUl9/fTTTzHz/Hz++ecxk5dYaSv6Xag6yur3rNpsLP1dJVZ+F6p+9I7L6vrR/b/99tuYeX5ipX7UbvV3BPlk9aK/M8XK78JYqh+126yuG91f/88RK/UTK79/9PzEyt9Vfv755zS/3xQ3C4dI/T+qd38jvPLvv/8e9u9haifhUzPsDwH0NNDmypXL1FBmz55tSS2vv/66xcXF+XfRi3nVqlX+ttJ46aWXkrw+qXQj98+ZM8deeeWVNKURmV5q15WPDRs2xEQ+1q5da08//XSW5+WZZ56x+fPnZ3k+VDfvvfdeTOQjFtqI2vjLL78cE21EdZO5z2/i7yvlIxbqRvng+Y2uI5nw/EabLF++nOc34u8eaiM8v9FthN+/0R6x0kb0+5fnNzbrRm2E378J62bdunUx8/vmww8/zPK/y+sZ1vt18eLFMZGXN954I2bqJxZ+D6t+9CzHwv9bKC/KRyz8P7lMYql+Vq9eHRPPz4svvhgzz89HH30UEyZqK7Hw/116fp5//vl0qp/o321KOyWLZxIrz/IHH3wQE21FvwsXLFiQ5XlR/cTK39+Ul1h516p+li5dmuX1o2dNcYFYeX4+/vjjmDBRW1FsRD5ZvaxYsSJm3rWx8vyoftasWRMTbWXJkiUxUz+x8v9iqp/169fHRP08++yzaa4fdRzxA6XhFXXa0/+Dh1fdnzx58hy2rOqQ407OoA8C6GmEzZ8//yFTyJs37yGP62BkgF3bqVkUiE/Ndel9TXqUJT3ylBz39LhPdkojVuqGfCRsNTy/0SaHfH6jT80xWzw30VWdO3fu6B1ZuMXzG43P8xvtoS2eXykcXHh+D1p4a7HSRnh+vRo5+DNfvnwHN7J4LVbaiRhiJS+x9D6JFRPVT6z83YT6UW0kXGKlfmIlHxKKpecnVvISCoVEExPL4f7dM0MzGS/xWKkfZSsUio06iqW/v8VS/cRKXvhdqKcl4RIrv4NipZ1IKJbyEiv1EwrFxns21uonltqKbIK+EEAPeg1TPgQQQACBmBEgI+kj8N9//6VPQqSCAAKZLsDzm+nk3BABBBBAAAEEEEAgCwS4JQIIIIAAAghkbwEC6Nm7/sg9AggggAACmSXAfRBAAAEEEEAAAQQQQAABBBBAIPgClBABBBBAAIEcL0AAPcc3AQAQQAABBBDICQKUEQEEEEAAAQQQQAABBBBAAAEEgi9ACRFAAAEEEEi7AAH0tBuSAgIIIIAAAgggkLECpI4AAggggAACCCCAAAIIIIAAAsEXoIQIIIAAAjEhQAA9JqqBTCCAAAIIIIAAAsEVoGQIIIAAAggggAACCCCAAAIIIBB8AUqIAAIIBEWAAHoaa/Lvv/+2PHny2BFHHJFg0f4///zzsHfYs2dPgmsTSy+pfblz57a9e/emKY2k0k7JfpVXHim5JiPO9fKhnxmRfkrSjIuLMy0puSYjzpVFWttZeuRL+VAb0c/0SC8tacgjFvLB8xv97lSdxEob0bOrJS3tLD2ulYnaa3qklZY0lI9YqRv9zlN+0lKe9Lg2lp7ff/75J2b+HhALdaNnV0t61PMRRxyRaltZ8PxGv+d5fqM91EZ4fqNN9OxqiYXnd/fu3Un+v15m5k/tRL+DM/OeSd1Lv/v++++/VL8Xk0o3pftlomdHP1N6bXqfrzwoL+mdbmrSU/3oPZuaa9P7mn///Tdmnp9YqR+1lVipn3379sVM/ej9Jpv0boMpTU95iIW/tynfoVDI9DxrPSsXmfzvf/+LmbaivGSlh3dv/T0lV65cMfG7MJaeH+XFM8rKn3p29I7Lyjzo3np+9PtHP7WdlYvyoLxkZR68e6t+YuV3od75svHyduBnpj/bykOs1I/yEiv1o6Ca8pNV9eLdV3nQ+00/vX1Z9VN5ULvNqvtH3le/C/U8R+5LybrKov9fUD0fajnUPZSGnp1DXZ/WY7nSmkBOv/7ss8+2pk2bWpMmTRIs2l+1atXDEt15550Jrm2SSHpJ7WvWrJnVrl07TWkklXZK9qu81apVi4l8VKpUKcl6SUmZ0npu8+bNTfWT1nTSer3qpkaNGjFRN7fccktM1E39+vVjIh9qHzy/Tfy22TT8PuX5PejRJPy7QCY8v038NtIkbMLz2yTKQ21Ef99oErbJykX54PltkqBusv75beJ+3/H7t0lU3cTS71+e3+i6iaW/P1esWNE9P01i4P0aC+8SOejZueuuu6KeJ+3P7CWWfucoL7HwHKsOVD+x8P8Wyku9evVi5vmpUqVKlrdZmaitpPXff5ROeiwNGzaMmfqJlb+jqH5i5V2rOtbzrJ9ZucikXLlyMdNWatasGRPPsv6u0rhx4yzPi+onVv7/S3mpXr16lps0adLE/TtsgwYNsjwvMtHvH/1UvrJyUR6Ul6zMg3dvvdti5XdhMP+u0iRNbV9tpVatWmlKo0n4OUyPpVGjRjHz++fWW2+NmbzE0rtWz3Nq61pt7Zprrjls7PRQ91AaV1555WHTSMsJBNDTohe+Nl++fOHPpP/kz58/6YPpeES9O9IxuVQnFSv5OO6441JdhqBeqN46sVC2ggULxkI2XG/umMhIOBOx8tzESj54fsONIt4fnt9okFjxUK5i5bmJlXzw/KpVRC+x0l6z7e/faM503YqV5yZW8sHzm7B5HX/88Ql3ZtEe9a7PolsnuK1GGyTYmQU7YqnNxspzrGqIlbzEyu8/meTNm1c/YmKJlecnVvKhSomVv6MoL7HSbkOhkLITE0ss/S6MlfpRxWgEun5m9RJLvwtj6e8qsdJWChQokNVNxL9/rPz9QBmKlbzESjuRCX9XkYKZRfyIlfesssTfVaSQ/kt6tPuMfp8QQE//eidFBBBAAAEEEEAAAQQQQMAgQAABBBBAAAEEEEAAAQQQQACB4AtQwuAJEEBPY53+/vvvlpIljbfLtMv3/WfGggFtgDZAG6AN0AZoA7QB2gBtIMe2Af5/gP8nog3QBmgDtAHaAG2ANkAboA3QBmgDtIEc0wYyLQAXezeKiRylJNaqczM60wTQ0yj8xx9/2OLFi5O9rFu3Lo13zJzLf/trj7296TcWDGgDtAHaAG2ANkAboA3QBmgDtIFs2Ab4fxn+f442QBugDdAGaAO0AdoAbYA2QBugDdAGktcG3t38W+YE37hLogLHHHOMbdu2LdmxVsVlDwbRE00yzTsJoKeRsFChQlavXr0ULWXKlEnjXTPh8tj5uqVMKCy3QAABBBBAAAEEEEAAAQRiSICsIIAAAggggAACCCCAAAIIIJBDBM4///wUxVkSrZIuAAAQAElEQVQVl1XQPSN5Mi2AnpGFIG0EEEAAAQQQQAABBBBAAAEEEIgNAXKBAAIIIIAAAggggAACCCCAQHYWIICevNrjLAQQQAABBBBAAAEEEEAAAQQQCL4AJUQAAQQQQAABBBBAAAEEEMjhAgTQ09gANm/ebKtXr05yWbVq1WHv8Pnnn5vOS+2i71U/9Fz/h80CJyCAAAIIIIAAAggggAACCCCAQLYXoAAIIIAAAggggAACCCCAQMYKKC6Z2pimrlNc9FA5/Pvvv23lypVJxl4Vl3333XcPlUSajxFATyNhXFycffLJJ0kuf/7552HvoIaS2mXbtm2m72HP6Ln+D1uIjDyBtBFAAAEEEEAAAQQQQAABBBBAIPgClBABBBBAAAEEEEAAAQRiXuD88883xSdTG9s83KDgfPny2aZNm5KMvSoumydPngx1IoCeobwZm7iC5jfddJMVLlw4Y2+Uganv3v2XvfLiAuvYoqZVKH6mlbyggNUse6nNmznJ9uz5NwPvnHlJc6eME/jvv//spx+3uTb0WP+udnftW6xGmYvtxktOdG1J7SlyURt7qGNT2/rV5ozLFCknKaD6+viDtdaqwW1W9opTbfXKpUmeywEEEEAAAQQQQAABBBBAILsJkF8EEEAAAQQQQAABBHKCgOKTVapUMf0ManlzBbVgQS+XGmV2Dp7v2vmLjRncyypcU8R6tm9sb7++wn7ftdNV2w/ff2PD+3VxxxVwczv5yCqBmLuv2sSWzRttcO8OrtPF7Tdc6NrQM09ONAVnt2/7LsnOF2pjL7/wrD0xfmjMlSvoGfrzj99tWN/OrpPDB2vX2P/+3m0LZk+1f/73d9CLTvkQQAABBBBAAAEEEEAAgewgQB4RQAABBBBAAAEEEEi2gOKUQQ6iE0BPdlOInRPVKLNr8FxBs5lTRljVUufbrMdHRQU68+c/0rR40i8umGNff/m5t8nPHC6wb+9ee33FEqtfqbg1qFzCFsyZZn/8tuswKokfVieN3X8d/usVEr+avSkV+PSj96xJjRvs2dmPR116/AknWZ4j8kbtYwMBBBBAAAEEEEAAAQQQQACBlAtwBQIIIIAAAggggEBmCyheGdQgOgH0zG5NabyfGmN2DJ5r1PC6t16zhlWvt3FDevuB87z58ts9HXra4jc22Yr3t9mYJ5eY9onpt12/2rbvtmqVJYcLbP1qs91d51br1rp+zupUkcx61+juJyYMs7VvvprMKzLnND33SxfMtnvrlrfvtm6JumkoFLJbKtW0UCgUtZ8NBBBAAAEEEEAAAQQQQAABBHKcAAVGAAEEEEAAAQSyqYDilkEMohNAz0YNUo0wOwbPd+/+y0YM6GbtGleNCqLVaniPC5w3adXFCp54sqsJBdk0St1t8JHpAgp4vrHyRfc94g91amZZPUpb+XnlxQXWsPJ1plHM6QWimQ7i4uLSK7ksTUcuDauUsImPPWwKVmdpZiJurud49KM9rF+3lq7DTCgUHSi/8tpSdkWx6yOuYDWWBPTsxdK7IJZsyAsCCCCAAAIIIIAAAggggEC0AFsIIIAAAgggkLMFFL8MWhCdAHo2adNqfNkxeK7gXqPbS5q+n9qjPqXQaTb2ySXWqdcQO+roY7zd9sfvv9n8WVP87WMLHG+FTivib7OSsQIKmM1/arJ1a13P9D3iq19Zal9v2ZSxNz1E6srPiqXP2UMdm7oA7CFOdYeOK3ii3XBLZWvQor09PHyqDRg1w7r2HWGaJtydEP7IlSuXVal1l3V9eKQdkTdfeE/2/rNm1UvW5q7Krr5iqSSaPaJvl3tszvSxLlvFS9/sRpu7jfCH6qFxy/st/5FHhbdi9k+OzZievVh6F+TYiqDgCCCAAAIIIIAAAggggAACmSHAPRBAAAEEEEAgHQQUxwxSEJ0Aejo0ioxOQo0uuwXPFYDRaNj4Uzdfc/1NNmXeSruqeOkoNp2/YO5U+2DtGn+/gm5nnFXU32YlYwU++XCdjRva2/bt22f677jjT7ATDswMoO3MXtT5YnDvDn5+4t8/d+48VrlmA5s4Z5mt+nC7vfDmFzZo3Cxr0+Vhu7XyHXbJFdfawmeesF9/3mGnFTnbejwyzpa/9511HzDGTj61cPzkst32qmWL7IE2Dezv3X/5eT/73Av99axa0dcudGhWw1YtW+iyUOH2Otb43s6mDhluR/jj+pvK2xXFrguv8SfjBFKfcqy9C1JfEq5EAAEEEEAAAQQQQAABBBBAIOgClA8BBBBAAIHYEVA8MyhBdALosdOuEs2JGlt2C57Hn7rZK5gCaYPGzwkHZU/xdvk/FSydMXG4vx0KhaxSjfoWF5fb38dKxgns2vmLDe/XJSoYW7F6XTvx5EIZd9NDpKw2NHnUAPvjt10JztJI8+4Dx9jydd+4oPhlV5VIMJpcQfOurerY77/tdEH1uS+uc8F2Td2eIMFsuEMjzx/uek/UyPxQKGQXXHJllpZm06cfWesGFW3jhvUuHzXqNbNu/Ubac3Om+m0rT54jrGGL9pY3X353Dh+xJRAz74LYYiE3CCCAAAIIIIAAAggggAACCCCQEQKkiQACCCAQOAHFNRVEz+4FI4AewzWoRpbdgueahv3hbvfanANTN3u8CqT1eGSsJRbA/OH7b6xvl7ujgqUly1Swq64t5V3OzwwU0Oj/5+dON3Vi8G5z5jnnW/U6zSwUiv7eau94Rv/ctPEje++t1xPcpn7z++y5lRusyh13HTIAu/uvP63Ffd1t9tJ33bTuueLiEqSVXXdodHCf8POikedXXFPSatZr7opS5OzzrOj5F7v1rPjYGA6at29azZ9OvnnbB6xjz8H2WXj/q8sW+Vm6qXxVu/Sq4v42K7EjEIvvgtjRSVlOOBsBBBBAAAEEEEAAAQQQQAABBIIvQAkRQAABBBIXUHyzXr16iR/MJnsJoMdoRalxZbfg+c8/bbcuLevYyhefj1JV8FyBNE25HXUgvKFr+na5x7756ovw1v4/+fIfaU1adTlkgHT/mXymh8BXmzfanGlj/KRCoZA1b/dglk5z/tH6d+zff//x86SV1l36uunZkzNyufAZZ1npsrdZYm1OaWXXJbKzSbESN9oD/Uba+gNfe3BrpZpWMIum3P9o/dt2Xzh4vvPXnx1tu279rVk4gL53zx6bOWWkX5d6ttUJgpklHFPMfcTiuyDmkHJGhiglAggggAACCCCAAAIIIIAAAggEX4ASIoAAAhkqoDhndg6i58pQHRJPlYAaVXYLnv+261fr06mFfXAgmOcV/PbaTdwo1MQCmUld06xtN7v48mJeEvzMQIG9e/fYnOnjzAt86lZlK1SzMuWrajXLlvz5j4q690mnFLbyVWpn2Yj4qMxk0YZmdxjYvY3rbHLc8SdYp16D7b13VtuWTZ/aCSedavqKhKzImqaTb9+0uptBIleuXG5a/bpN27q6Wv/uG6bjXr4q12xgF1x8hbfJzxgSiNV3QQwRkZVsI0BGEUAAAQQQQAABBBBAAAEEEEAg+AKUEAEEsoOA4p3ZNYhOAD3GWpgaU3YLniuw17N9Y1v39mtRmgrote/+SNQoYJ37UMemNmZwL+vWun6Ca26uWN3qNmnjgm9RicXYxv/+3m3vvLHSBQd37/4rxnKX/Oxs2rjBli+Z51+gQGzLTr2j6sw/mIkrVxS7zhQk9m65Y/v31qVlbXtp4VzTKOxdO38xTTftHQ/6zz17/nXPzNo3X3VF1XOV54i8NnXMILddv1lbO/3Mc9x6Zn6sWrbIHmjTwDSdvDrJ9B85wxQkD4VCpmn0n5z0mF9Pqk9NNx8KZc3XAmSmS3a8V6y+C7KjJXlGIE0CXIwAAggggAACCCCAAAIIIIAAAsEXoIQI5CABxT2zYxCdAHoMNVI1ouwWPI8f2PM4r7n+Juv80FDLn/9Ib5dpxPmD4WDbyy88a7MeH5VgtPrZ511kbbv1T5fgrYLaj/Ro54J7CnYrEwq4rnvrNatd/iqbPn6IdqVq0UjNUY92tw7Nqtv999a2BXOmJjudfXv32scfrLXBvTvY7TdcaCUvKGCVri9qb762PNlppNeJKofqQcFPL02N/j9UIFb1vXrlUuvYoqbdcmUhl/8bLznRRg580GTupZPWn2oL/UZMjwqib/r0I9N0/zXLXmq3lTjbSl14nLu/DJNaSl90vKunn3f8cMgs/fnH7za8XxerUfYS2/rV5kOem9TB7du+s0kj+lnNcP6Ut/ua3G67woH+pM5PieWieU/awqenu6RKla1opcreZhOG9zWVq3ipsla9bjN3LLM+9CzpOe7ZvpGpHEcfW8CGTZ4XNXPBGytftPXvrPazVL1eMzvr3Av97cgVLz09C0nVmb7u4cG2Dd3zsnnjhsjLk1xXulvD9TluSG+7s9yVrr2UveJUe3b2435gP8mLD3NAz/KKpc+5+n55yfzDnL3/8K5we5g9dbTVrXiNy0uTGje4DiH7jx7+U9cvmjfD7q59i+m5U7vvc38LU8ekw1+d9BmpeRdkpG3SOeUIAgjEugD5QwABBBBAAAEEEEAAAQQQQACB4AtQQgRSKqD4Z5UqVVJ6WZaenytL787NfQE1nuwWPFcAZc70sX5gzyvMGWcVte4Dx9rRxxzr7bJvv/7SWjW4LcGIc+8EXTNs0jN2auEzvF0JfipQN2/mJBd8qlHmYmtQuYQlFkj78YfvrU3DSqZA02efvB8OLu0yBbueenyktWtc1eUlFMpln3y4zp6dNcX6dWvpp/nYgG4uIJjg5hE7vvnqC1vxwnP+nsTy4B88sKL7K9h2x62Xu+DXgjnT7Kcft7mjO3/5yeY+Mc7+/nu3286ID9WVAokzp4ywR3u1t9deXuzK/+qyRf7tSoUDs5Wq1/O3I1d0vTof1LvtWuvasq69/foKP2CuelH+lWbkNWldL3bdjTZ/5QbrPWSSXXjpValKbt++fbZl82f2v//9L8nrP/3oPWtYpYSpbe369Rf7688//HNVbnVuaFbzpgQdPryTvv/2a+vZvrHVCLfJ6eOHuoCortNocbUx7zzvp46lxFLPjjfSPE+eI6x+s3a2YO5Ue+XFBVb4jLOsW79Rlv/I6CnvvXul5afyue27raaArwK2repXtK1bNrnA8/ynJlufzs1NvqcUOs3Gzlhi15Ys499Ogd7Z08b425rZoFL1+hYKJRx9rvajGSk0M4WeBaW5ccP79vtvu/zrNevAfU2q2avLF5nOeev1l/1jia2o08zSBbNdZ5m6FYqZ2v13W7e4U3Vs+MP327trVrntxD70vP768w775acfE30f6B3TI1znvTo0cfX94vNz7J///Z1YUm6fzh/wYGvX8WP0oJ7OUQc+/+RDe+u1Q5dF9aBON51a3OGuV8cgbctNaSxb9IxNGT3Q1Yu2D7cova1fbXYmqX0XvP/uG6bgf2K2c8O/E1RHh8sHxxFAAIEYFCBLCCCAAAIIIIAAAggggAACbHEfKAAAEABJREFUCCAQfAFKmEUChQsXtjJlymTR3VN+WwLoKTdL0RV79+497PlHH320ZbfguQql4OuEYX216i8aidp7yOSoQLhGDrdrXMW2bPrUPy9yRQG4/iOeiLom8rjWFfQa0ruTGyWsIJ5G+3795ef22287ddhfFGjT6OiNG9a7fb/v2hkOgu2wWdNGm0ahup3hj4mPPWwt7rzZhvbtbAq0eWnODwfoP3zv7fAZif9R0OqZJye40fTeGd9/81VU0NXb7/3UyNkOzWuYgm3bv//W2+3/VFBUU1vny5ff35deK3JbPP9Jq1zyXFOwSwYaydy93V1u9Py///7jbqV6u/u+HpY3kTwojdGP9nCdD747EIS8qVxVGzR+th1X8ER3vT52//mnfqTrohkM9FUAU+evstc+/smeW/mxDZ4wx3oPnWx33nWvVapR344/4aRD3rNsxWpW6LQiCc5RIHFpOMh6b93ypvYU/wQFUdXpovPdtezbb7bYMQWOizpFLgr81rrlchfMjjoY3giFQglmU9A1KbFUHuc9NcmNNA8naRWr1Q2vbzc9d7ly5bK2XfolWjadm5ZFbVZt5I6bLzO9w8bPetG0nHHWuTYnHBjXaH0FuhXAf+zx5+y8iy5zt9PzoaDzC8/NMnVMcDvDHxopr5kfNGK6aqnzbcvmjeG95oK+6oSjIL3bceCjeOmbTZ1qtKmp4B/t2S7q/XFm0fN1KMGiOlu+eJ7VKHup6xjjtdf4Jx6RN1/43vvi73bbGs2tmSX0zFQpdZ5Vu/EiP+Ct+tDI+gaVi7tgvrsg/LFp4wbb+esv4bXoP6pvBe/VRpY8+1T0wQNb+Y9KuvODnO6tW851unnrEJ0GjsiT1/btO/TvGuUlre8CzTIxsHsba92wkum9fqAI/o9QKGQ167eIei/4B1lBAAEEEMhgAZJHAAEEEEAAAQQQQAABBBBAAIHgC2TvEp5//vnZJoieK3tTZ33uv/vuOzvllFOSXP7991/bs2fPITNarFgxU8+LQ54UYwcVqB4/vE84aBMdhGraqotdfHkxP7cfrX/b2jSqnGiAUifFD8BpX/xFQbnHBjzgRpRHHqtWp4ldUew6f5fy1L5ptahA26VXXmu/h4Ps3ghe/+QkVhQU/OSDtYkeVfBowINt7LnZ0VO2f/v1l5bUiMuvvvjMFKDVaOREEw3v/DccxB4/rK9plGp4M13+RAYSB3ZvmyB/Kufvuw52Pmh0byc/CBqZAZVZo1QV5NT+444/wUZMXWADRz+pTftt5y/upwLwlxcr4dYz6iN37jx2SuHTrdh1N5k6HXy9ZZNp5K9GCid1z+tuuNVatOueYOSzfBQc1+wDal/xr9e+sUN7+50uylW+w84852DQVvXapMaNpinw41/rbWu68nMvuMTbdCP2U2r5VTjQvGzh0y6NfPmPtPMvvtwG9+noth8cMMZuKl/Vrafnh8qmNqvR3kpXI93VWUVT948Y0M00glr7tejZ6ti8hj+duKYVrxIOOquTgI7HXxT011c7nH3uhe6QRoFPCLd9t3HgQ22pYYsOFheXOxzk/s/mz5ps77yx8sBRs5NOKWxFzz/o6h3QaPmWDSpa787NLannUeeGQiFTey923Y3ajFpU7+oUERmsLnz6mVbwxFPC7/F/7YkJQ61LyzqmKf+jLgxv6NrwD/+PRnnfEw5+q9NK/GPeSSrLZVclfG4U7FY+GlQuYRvef9c7PdGfGvlfp2lriwt7JXaC2rrXqSAt7wJ1qtAo+KQ6Auje6mDw+JhHEw2u6zgLAggggAACSQpwAAEEEEAAAQQQQAABBBBAAAEEgi8QLqGC6IqLhleT/PPrr7/a8ccfn2TsVXHZbdu2JXl9ehwggJ5GxdNOO822b9+e5JIvXz7LnTv3Ie9yzDHHHPJ4rB3cu3ePPTlpuGkq88i8FS9V1qrXbebvUkC7/wOt7I+IqZj9g+EVTcs9buZSO6voBeGtpP8smvekadR05BnXXH+Tterc1+IOBI10LwXPI/OkEaxd+o6wBXOn2d+7/4q8PMn1UChk5154aYLjv+361R5s28BeWjjXylWpZQryeSf98cdvtutAINnbp5/KU7fW9ez7b77SZtQSfzSzApRffP5x1Dmp3VCg68G2DS2pQGKuuLiopK+4pqRVr9MsQZBZQb+RAx90ZdYFKvPQSc+Y6ln51TEF4nVMAcmzz71IqxmyKDCn0bgKeJe7+jQ3Zfo7q19J0IHjxJMLWfmqd1rPR8fb/Fc+smGT50V9lYAyp3JNGzfYBcdzh4PyV5e4Qbv95Z///W2a7cAbFa0gfGRbW7PqJWt2RxmTgX9RvBUFilt2esgfHa97ykvtR6cm11LB652//qxLTAH08cP6uOepZefebvR9KJRwSnR3cio/Emuzms3hrqol3dT9zzw5MSpldcLQ6H2VL+pAEhtlyt9upW+5zR3VM6OZILw25HaGP9SWvBHtGsU+Y+Lw8N6Df9T+CkXMKKC28forL7ivdNiw/p2DJ0asKcisWRO0S+fPnDzCvtr8mTb9RfvVUSTyXaN66thzsDtHz9OkEf3devyPJq27mALt3n51DNAMF4mN0vbO0c/412mfOgLo6y5mPT5KmwmW04qcbeo8dMQRed0x3UvTuLuNeB/p9S7QqPy+99+d6NcYHHX0MVHvDr3v1739WrycsIkAAggggECwBSgdAggggAACCCCAAAIIIIAAAgikn4CC5wqiHyr+WqhQofS7YSIpJRZAT+Q0diFwUGDdW6/b83OnH9wRXtOI4Katu1r+I48Kb+3/owDkN199sX8j3qem+R078wU7+dTC8Y5Eb3779ZcWf/S4AuPdB471A6MK+nW+586ogL5Gtg8aN9vUgUGj4KNTTXqret2mpuB85BkKQnVrXd8UsG3Xrb916P6onRQO1HrnaLSozvG29VMBJ011HL/8Cn4NmTDXLruyuE6LWtQxIWpHKjbkdV+TaqaAYuTlmppdZXtqydvWI2znHVO9tezYy7f09uvn6hVLbfG8GVp1AbKufUfYxZcXc1Nza9Sx1zGgRr1mVrdJG3eOOzkdPxTU/PiDtaZprDUaV1OuRwZci5x9nt3b8SF7avFbbor3ha9vtD5Dp7jgsoKsoVAoQW5WvbTQnpz0mNVvfp8tfXuL1W3axj9Hddmncws320GZCre7acuHTnza91HwvGeHJgk6ZJx+5jmmoLmXkALcpcve5m1aaizVht6KmLZbo6r/+vMPq9esnWWEt+6XWJv1C5HGFXUAaHhPR1OnBSX17hsrXVvSurfcXruJXzbVxbRxg12HAe+42quCx6HQ/npV+9CU8t1a1UtQJ/p6gdZd+ro6rtO4tb29eoWXjMtD7jx5/G2tKNgdGaxXfbbs1NvNeqBR5ytffF6nJVhUH1Vr3eXv133UcUaBZH9neEUdhWQQXnV/VNbI67RTnRWa31HG9FPb3qK83Fa9nun5HTNjiX328Qf2zz//8w5b/vxH+eveSnq9C9Q5QqPh48+iocC5vkpB+VI9ePfVz72HmXVF57AggAACCCCAQMwIkBEEEEAAAQQQQAABBBBAAAEEEIgnEMAAerwSspmuAgpqzZ42OsHI35vKV7VLr4oOCisgF//mCroogKxpnPPnPzL+4ahtBWXmPjHOft7xg7/fC4yfWvgMt88Lnm/Z9Knb1sfRxxawh4dPdSPb43LnsSOPPNq8/3SsUo36NnjCHJv67Kt2xllFvUPWvO0DptGmXoBPB7wg1EfvvWU9HhlndZu2tXxHHmUnnHSKDrtFo+CPOfY4t+59vPXacosfcKpZr7lNf+51y3NEXosMjOoaBdY0elrrqV32W9SKmsJe3g8OGG0vvPWldQ0HwHf/9ac9NqCbf4sqtRomqDcd1OjgJyc/5tdz2QrV7Poby7nA8921b3FT8supY49B1rnXUBeQ1HXpuWhK++7t7jLdb0PENNYqk4Lmz636xOa8uNYat+xsZ593UbLzUKpsRRdUbdu1nymtyDyrzcmxaq1G1nvwJLui2PWWK27/iH3lR9OXR85moMCmgrSTn17hd7y4p0NPiwxw79r5i6XG8tutX9oXn38SmT1TZ4VWnXsnu6xRFx9mY8P77yRos4e5JEWHS998m513YHYHjfLX9PuRCajjiupE7Ur7N238yHVa0bq3FC99cziNy9ym6krT8KtO3I4DH5rmX8+/OlNoKvjvtm6xPl3ujgqwV6xeN2pKfnVemTllRFSwXp0g1Obva1LNPli7xqWujhLHHX+CW9eHguCR9aE2MmLAA1H30nnqrDHlmVdMBtpWZ5aOPR6NqsdPPlxn9zWtZt6MAzpPFrp2yZtfWK9BE0xTvg94sFVUgF1t/6ZyVXS6v6gNd74nfd4FCuYvfW6Wn7ZWbri5UjiY/46df+Fl9vKS+doVtZxZ9ODXHUQdYAMBBBBAAAEEEEh3ARJEAAEEEEAAAQQQQAABBBBAIP0FcqV/kqSYJoEYv3j9u28kCGrlyXOE1W7U0uIOTKfuFaFsxWp+gEijQTuEA0YLV39uCmCGQvtHkHrnRv7UaO733n7dtmz+1F5a9LR/KP6U7wpWKcAaGTzXyU1bdXEjpbWuYJeC9cqjAk1zX1znpvcuVuJGmzCsjz9qXYGwxq3u9/OrazUitV3jKvbNls328GPT3KjmUChkCvwrkKVztCiodsaZBwPxiQUHFWTt3HuYHXnU0fb6iiV+YFrXazmr6AV22hlnaTVViwKA08YO9sujRDQydMGrn5qCwcqzOgP0DQcSvZGx6kxwR4O7LS5evena+KOD//h9l1W/6SLTFOIaAX5Tuao2b8WHdme43nPF7Q8w6zrlQz/Tsigw+sbKF61B5eL26vJFflIKdmvEq0aNNw4HzU8pdJp/LCUr+Y88KmqmhPjXVri9jnXoOcg0aj/ymEafR07brrY1ctrzpiBtgeMK2uDxc2zZu1utSbj9KfDpXZtay08+XGuRwXqNdO7Yc3BUG/XukR4/i5csa4tWf2aT5i63mYvftAsvuTJZyaptqS70M/ICPXMKiA8YNcMeHfuUtX9woMUdaGs//fiDG0Xtna+OLN0HHpxVQvs/Wv+O/fvvP1p1izor3HlXS79eVq9cGn6G+7pj+pC5nrM5S9farZXvcE56hnvcd1dUYPyiy662pq27Rs2YoKniX112sK3pfaA2fv+9tf0OKfpqAKXrBbjjB/zVbp+fOzVqan91jBk0fra16fKwe/YfGjzRXnznK+vS5zG/HMq73mX6egLv2dQ+3V/PmAzVvtQh6ZGebaM6Oci4a5/h/lcF6Do9g9PS8V2wfPG8qHqQzYDRM9zsIevC72nPQ/fWcsKJp1jR8y7WKgsCCCCAAAIIIIDA4QQ4jgACCCCAAAIIIIAAAgggEJMCuWIyV2QqJgUUmHnhuVn233//ReVPI8+Lnn+J2xf5oSmsX3r3azfad8mazeEgeysXfI48J/76V198ZpL9JtoAABAASURBVPfWLW9bw0HrNauW+YEvBatGTV/ogja6RkH23p2bR43E1H4F5zU9vNa1/PrzDhv2cJdwsCqf9QgH6I4/4SSX//mzJts7b6zUKW7ksIJUCsC5HeGPdW+/Zm0bVbZdO391wb+bK1b3A24KkO/69efwWfv/3FqpphU88eT9G+FPjRzetHFDeG3/n8o1G1jdA1Oc79r5i6lzwP4jBz9LlalgGsX+265fbUifjvbLTz8ePJiMNd1v+ZJ5/pnKr0aeK+isnQokus4AEVPqy/TMcxKOFFXQ8tWXF+syf5GVRq8rKK9R34+MmenXhXfSurdeszGDejlfb19Kf+7bu9c0qrhLyzr25x+/+5drFO7iNzZZhaq1XWDUP5CMFaWpIKA3ivhQlyjgWadJ6wTtVDMvvLX6Zf9SdcaYNPdlK3bdjf6+I/LmM3VK8HeEV1QvU0YPDK8d/JNcy8ivSShxwy12T/seSZZdZdwVblsH75LytVxxcXbCSaeaOqo8PWOibfz4fT+R1l362upPfrE1n+1KsKx4f5tNX7Dazjr3Qv98rVSsVtdkqdkLbry1iktb+7Uor3/88ZtWTZ1rhk56xk49MKuEduod8+tPO7TqL2XK325Xlyjttnf88L2NHPig3xFFAfyJc5a5zgxexwd1GOnZobGbLcFdFP5Q/XbqNcQKHFcwvHXwj9qH2r326LlQJ5whvTv6wXN1QlFnk3kzJ+kUV8+a3v3oY4512/JXu503c7Lb1scZZxW1Gc+/YRqtHQrt7zCkd8yxBY733yU67/tvv7b777nTD7yro4A6Gw0Y+YT/jKn9jX60h8WfRr55uwft8mLXKxl/UZtLr3eB3kf6CgUv8SuuKWneu/Kf//1tmmnDO+b9vCpcR5oFQHkeN6S3bY54F3rn8BMBBBBAAAEEEEAgGAKUAgEEEEAAAQQQQAABBBAIqkCuoBaMcqW/wDfh4Ku+Bzx+yprmWKN64+/XtvYrWBUK7Q8gaV9iiwJm+t7uZneUcYevvLZkOMD9iltXUE/Tj3vBKo3W7HJvHX9aZXdS+EPBMQWUvACaRmw+1KmZfbf1S7vy2tL+qPTPPvnA/151jeC8p0NP7zuuw6mYvfzCfGvfpLr9/tsuF/hW0MgdOPDxbTi9D9e/7bYUbKsTDo5rY8+ef236+CE2amB3+z0cCNc+BVTrNWvrBz73hs/5668/dMhfNJL55nCAfsvmjdaucVV7aeHTKQ6gb/xovT9aWaN8NTJcwTrP9d565aMCibp58ZI3W9yBEcHa1qKOCQ+0rh8V5JdRt4dH2vL3vnPTSBc5+zyd6i8KHj49Y7y1b1rNtn231f7953/+sZSsKK+zpo02Bd2862Qz+olFLmjn1at3LDk/1VY6NK9h6mzx+++7Elyye/dftuKF5/z9Cl7mTsSk8921bMP6d9x58niw/yjTzANuRyIfKsvSBbOtebg9y8Q7Rdcm13LXr794l5lGgydVfgUqxwzuZcP7dTF1cvEvSsWK2vAT44fawqenu6vl0eORcdageXt/Knt3IN7HC88+ZRrF7e1WvdVt0tri4ll6x9XOlG9tX3zZ1XbKqQdnE5CdOurMmjpKh/1FnQhyhXLZ5s8+ttYNK9n333zljukZGzDqSdPIcrcj/KHgeed7akXNyBDebXWbtrGLLy+mVX/5esvn9vqKF9x2rrg4F4SfFn6Ova9gUPC8TdeHbcbE4X6HHnXk8O6ncgx9uLNrt3G5c7t0VM+acv1wbUSdKZrVvMm+3HRwqn5NHa+R9rni4lxaSn94v662aN4Mt+196P7V6jSJCsar/p5+Yny6vQt6d2pu6tSke4ZCIfd1Cd57eO/evabnR8e8Re2lyh132c87frSHOjYzTYu/48dt3mF+IoAAAggggAACCCAQSwLkBQEEEEAAAQQQQAABBBBIUoAAepI0HIgvoMCzRiRG7leA7LKrS0TuSvG6AkRjhzxk3VrVs9x58ljvIZPsmGML2Ddff+HSuuzq4lbo9CJuff07q+3eureavpfX7Yj4uO7GW837jmXtnjN9TDjI/qb9Ew7onnHmOdrlRkcvmT/TDzApmHZOxHTDz86aYgoa7du3152vgPidt17h30+BvyF9OrtA2hlnFTVv2mnt79GukU0a0d+OjxiNrsBnodMPTs0eF+872XUTmba5q7I1qFzCNFK8SesuVvSCS3Qo2cvu3X+a2f7TNRq+0GlnmlynjRvsXDUVuGYJ0MjQ/WeZnXjKqd6q+6kAaItaZU0jThWodDvDHwVPOtlK31wxwajs8CFT3tVJYcSAB+zMoheYRs5qJLaOpXR5ddmiqCm5FYQdPmV+1Cjv5Kapsit4V+uWy92U16FQyPLmzR91ufL+YNsG9tLCuf5+TU+/Z+8ef1smLetVMHWaOPmUwm6/RkyffOrpbj2xD6Xbq0MT05TcmrL/2GOP909LruUZZ59nJ51SyL/urz//8NcjV9RBQKP1F8yd5kbn63mMPJ6SdZlNHzfEHh/zqLtMHVI0Lb1mUAiFku4Ao2D1rKlj3DXeR/V6zcwbkb51yybT8+Edi//zsquvM6/NKHg+/6nJ9kiPtv7ocu/8R3q0s9IXF7RGt5e0777Z4u22Oo1amZ5jb4cCvuo0oQ4/Cq4XL32zO3TCiadYlZoNowLOqt+2d1WxHdv3B3nVGUTXeh0I1EGm3QMD7L23V9uaVS+5dPShYH4oFDLff840u7FcZSty1rk6bIdrI5pd4bH+Xa1Ds+pupgWVWxdecsU1Vr1OMz+PClA/2qu9HzwvWaaC5clzhE612o1bRY2kV7tT0Hr54mfccX2k9V0gn/z5j1JS4XfwmXb+RZe7dX3EhQP8+fMfqVV/0fPT5/4WVv2mi0wdojTd+7Ul93eK8k9iBQEEEEAAAQQQQAABBNJBgCQQQAABBBBAAAEEEEAgIwVyZWTipB0sgU8+WJugQF6AJsGBZO7Y+tVmu6duOZv1+ChzAdPJ8+yyq0rYjh9/MG8E7hFH5DWNJtcIWwWat2/7zqWuke+FTivi1vVx8WXFLC4utwuSazrxeU9OMo3IVBCn1f19dIrt2hk9hfqOH7e54J4CVU9OesyN4tUoSo3edheEP3b++rNpBLNGgN5V5fpwUH6Nm/Z93FNL7ZRCp5tGkWq/Akaa6rp15z5WoOAJ4SstHAQtHBV41ujNMw4E2dwJ4Q8FnXSP8KppNHzdJm38AJr2JWc594JL/Wt+/22nKYimUbpTRg10l5etWM36j9w/qtjtCH/s+Xd/oFiBU5X97tq3hIPuf1v/EdPt2OMOBn0V7NsVdgtf4v9RoFHTXt9x82X2yosL3LTfj015Nmoabv/kZKxoqv3Jowf6QVPVwYMDx7h0k3G5f4ry9fqKJdaw6vVuRLDqXwc1Pb4XkNa+qWMHWbUbL7K1a1bZldeW0iluUUeDsYN6meq6U4s7rHmtsq49DZs830490Iljx/bv7d01K91+d9GBD7UhXeeZaFrxgaNnpspy0NhZflBZya996zWTkda1qAwvLXraGlQubhvef9fVmYKrOpbSRWaqyyqlzrOpYRddr2dx1PTn7XBpKvD7woJZ9vOOH3SZWzTqulrtpqYpvpVevduutVeXL3bHvA8Fs70R9X8f6PyhdqhpyvWc65nQuZr94aZyVbUatZxxVlG3ref9mogA7Yb337HWDW5zo9Pl/+iYp+zP339z5xY55zzTVzhoQ2V+ZsYEu7duedNXEygYrP2Ri+6hDjL5jzwy3Mafi6pvjZCfNLK/1alwtWmkup6vB/uPsYInneySUBtZ/coLUdfogFdvCjDPmznJTQV/d/vu/nkK2OsdoXMVEPc6eOh50NTz6pCjqebVueHMiK9fUKBbbXXVsoVWvsqd6fYuGDRulhUJuyk/etflP3J/MF3becLv5cjOR9qnZecvP+mHqeNF++6PWOS71B3gAwEEEEAAAQQQQAABBBBAAAEEEEAAAQQQQACBGBcggB7jFRQr2VMw7LutWxJkJ1dcLosLLwkOHGaHF8BqWPk6N+pawa6R0563S68s7q7UNNq5cu1vnssWPWO3lTjbFHByB8MfCoprlOsP338T3tr/R9/7qwBmx+Y13FToCkBp+uWOPR71gzg/bd9m27d9u/+C8Kemga5T/mq75cpCNn5YHzs1HJB/fP4q0wjT8GH/zzdffWEaAatAd/W6Ta1L38fCgfQ3rcWdN7tRpArw9xo0wU11fXSB4+yMM/cH+DQtuxdQUhBaabwW7/vFVc6SN5W3yU+vsMYt7/fz6t88GStFz7/YvKnVXRB4yEP+lNrK70ODJtq///xjv+/a6aemKbJnTxtjdW+7xi+7OgVcVaK0nVn04Hej//HbLhdo1NTqLy+Zb4N7d7CK153tOhUouF689M02Yupz/vc1+zdIwYo6PGzZ9Kl/hTpRFCtxo799qBUFcTVN+hMThlmV0udbt9b1LX5bvezqEqbOFnv37jGN/FXHAk01/+CAMaYp9iPTX/f2a66u33r9ZVMQdcTjz5l81UHDO2/Ag61dvau9ael+311W4Zoi7jqZXHjpVTbuqRftimuuS5VlkbPPtVMLn+HdzmRz/721TUFz1cPtN1xofe+/20LhZ2TQuNmHDXT7CcVb0chwjbhWBxHlW4fPPu8imzT3Zf9Z1L6kFrkvmf9U1OGffvzBxg7p5drV1DGPulkaatRtFnVOodPPtMLhRTtffH6Omx5dnR7mTB+rXW5RuxoUDuBqCvma9Zpb4TPOsurhZ++pJW9bszbd3Dneh4LvmnGgdYNKpmdU/hPnvGxxuXPbxg3vu9M+WLvGfcWCAud1KhazxwZ0c1/doGdZHSzcSQc+NHK995DJrg40HfkHa988cGT/j1UvLTSN1td9K9xex3o+OsGNBo9sI0P7dnbvIbUP1Vv/B1pZuWJnuHqTtd55Y2cssVsr3WHqULA/ZXPBdD0PCojrKzPy5T/SNBNAhdtr25pXl7nT9IxPGTnAFMj3OnqozasDjqaAL3L2ef55mt1DAXbtkF9K3gXqwHB6kf2zd2zdstl+/OE7JWPqLKLOETJ3OyI+Lr3yWhs68Wl7sP/oqM5DEaewigACCCCAAAIIIIAAAghkawEyjwACCCCAAAIIIBB8gf0RyuCXkxKmUWDv3r0uaBI/mT3//OtGLcfff6htBZXvrnOrC2BpRKaCXQo2nnfRZf5lJ55SyI3u9ndErFQIB6w0svHLzz91wSbvkKY/V4BaI8K1T8GiTr0GmzfSVfty58mTZIDa5WPmUjdN8d339XCjQ3VN/GXBnGlWJxx079m+sQtSn3nO+Tb12Vfttur13MhPTWtctmJ1d5mmmlews2rpC1wngKULZrv9CporMPjGxp22+tNfbeikZ0zTN4dCSU+V7S5M4kMzAWjEZ+Rh3UNTqt//0LAoA+8cfae3Rvxu//5bN6J+4pxldlbRCywuLrfdXGF//r1zFfBTsEzTtavSwuUWAAAQAElEQVT8CqrrmAJ2CpYdW+B4baZ6+ejAd8p7CWhbwf2fftwWVcc6rnvrO6MVmFTg+tarCptGfU987GHzOivoPG9RMLRp667OQAHI5+dON9koeF6pRn1XZ965kT/VHkY/sdj/rvNSZSqYRmZ757y7ZpULmKvNKaCqtqxjd951r42d+YIpYJ8WS3UiUHreoiCoguaqB5VT7W7SnOWW2imy1fnkvibV3AhqM3O3UcBUI881itztOMyH6kGjrSNPU3BXHS3CFec6hahdhkLR7brAcQXtpvL7R5Zv3/adTRjeN6rTg655ZMxTpnalEdn39xlu817+wLr2HWFnn3uhFS91synQv3fvHuvUvKYLTKtjgeqgTPnbzevQ8dZry03nKH8a1a6ZFhQ4V7BZfuowcuMtlf1R1jpPbaN7/zH+tPC//PyjaVYHHYu/aLaIB/qN9APF8dvIe2+/7tqI6k3BbgXclcbN4ffDE8+/YXrnqTPBLZVrarcpfxWKn+kC78qjC7I/ucR1kPhy06eus5E7MfyhtqygvDp6aJR3r0ETXAeck04p7EZ/h0/x/6hMqXkXKIFbKtV0z4tmGWhQuYTpfVbu6tPs8dGP6LBbmrd9wF77+Cdb89ku1/miZPhZyRUX547xgQACCCCAAAIIIIAAAgggEFMCZAYBBBBAAAEEEEAgGQIE0JOBxClhgXAALC6RgIiCS1u/2hw+4fB/FITV9MwKwigYqCs09fGo6QtdsFHb3qJAZZU7Gnqb/k8Fxb2Alb5b2T8Qb0WB3U69hrigaeQhBTU1Gjlyn9a9oOfJpxbWpp1/8eU2cuoCO63I2W47sQ8FrTRl+/TnXrNzL7gk6pRylWu5oLR2Kqin4JPWtZx4ciHTaHsFCUOh6MCijqd2qV63mV13w63u8osuu9qeXPSm1W7UynLF7Q9knXpaEVPw0Z0Q8dHivu42ZMLcqFGwpcpWDAcpy0acFb2qUaYaCdykVZckOyREX5GyLQU7FaBTsK7UhcdZyQsK+Ev5a4tYwyrXmxe41mjYpFI/+tgCNmDkDNN3ZGvq68XzZrrvch79xCIXZAyFQqbRxwp0R6ahAKcXhPX26zu967e4z9tM8FMB2bHhYGfHnoP9gKpOSq2lgpBKU2nEX9Re1WlDHR7iH0vOtoLnne+5041s987Xsxi/HXjHkvqp75UPhRK24VoN77GZi982tcPErg2FQnb7nY3dCP/I43qmOvYYdNjRy8efcJK17PSQKTCs+t+z51/XDnVtf30FQYHjXYefjxP52gndT/XrdRjRtOR1m7Zxaen+6tjiBfd1rmYC0HtD696i8xSwbvfAgKh3zOHayGnh94naXr8DeVR6oVDI6je7z1TXavfqIKL9yqOC7J7hJx+u8zsD6Li3KE2VxevAo/3p+S64ukRpq1KrkZJ1X7GgTi3Kp3aoc9JDgydas3AAXSbax4IAAggggAACCCCAAAIIIIBAxgmQMgIIIIAAAgggkDkCBNAzxznb30WjqguddmaCcmj67FmPjzJNYZ7g4IEdu3b+4r5bOXIadgW+NCKy3/BpbhrlA6dG/bizUUu7656OLrCloPPDj02zLn0e8wNW8Ufo6mKN2FSAKqmp0BXweaD/KNP00KFQyAX4xs18wTqEg3Yqo9LwFgWuZoaD0ANGzbAril3vAnQ6poCappBe9Mbn1rBFBz8/OuYtGjWrEbS1G7dy1ym4pBHmfYZOsWeWr7di1yVvenIvveT81D01Gvyld7+2Kc+8kiBYruMKdB1X8EQX4FUAc96KD9102HKJvIeCioPGzbbm7R402YdCIfdTHRgUOJ84Z3mC9COvT+l6YnWZ0jTin6/6k4M3QjtPniOsz7ApNnvpu3ZV8dL+6aoXlSsUCplGNcuwX0SA0zsxFAq5KfoHjnrSny7/mALH2a2VatrEOcvsqcVvRaXrXZdaS3XmGDR+tmlUuNJS0Fj5nPPiWosfpNfx5C7q0DF9/NCo4Lm+6kBTe6uNJDcdnXf51SVM12r96GMLWM36LUxtSp1Xjjr6GO1OctFzNGLqAlMHAz0ft9xWw12r5z5X3P5OH0leHD5ww82VbMjEp+2Ek051HUdmLnnLIq+Ny5XLjjgib/jMg3+Up77DHreHh091o9u9I0rrxbe/Mj07kYFoHVdnnrbd+rv2r3eE99zEP0/nhkIH24jakvZpOe+iy1wbmfviOvfsh0Ih7faXk08t7DrVqK71tQFqY/HbYP78R/nneyvqqDD9udfde8zbp5+qR7VjlUfPQPyOMzreLBz0Ts67QHXTscej1qbLw25WDr27i55/ibULmyx+Y5NVrFY3yVkclBcWBBBAAAEEEEAAAQQQQAABBBA4IMAPBBBAAAEEEMg2AgTQs01VZX1GvUBk/JysffNV69O5uX3x+ce2b+9ed1ijKDW1sL6fV4HzKaMGmgJ3OqiRltMXrLbaEaOjtT/+osBNq8593BTnC1/f6AKVodDBwFOFanX84J2CvK279DWNelVwOhQ6eF78dPV9wyMef840ffrj81baldeWSjIApMBy2QrVbPysF/0pip9ducE0arvAcQXjJx21rWBdh+6Puus0vfHkp1dY+ap3Jhpwj7owDRu54uLciOpQKPHyX39jOXvhzS9sxfvbTB0JvO+hTuyWKrumZpa9rPSza98RpmBcKJR4+omlk5x9qrPIgGNyrknqnFMKn279wgHwyXNftiJnnRt1Wv78R7oODZE71c46PzTUtQcFwTXyOxRKvHyhUMjKVLjdFMTWdNUvvfO1qWOHOgDkiks66JtaS+V//FNL3dTYS9ZsdlOYe99vHVmGlKxv3LDelj43y79EQflO8b7qwD94mBWVS+1IFsve3Wr39x5mh2pT8ZMrdFoR06h3PR+qM3UaiH/OobavD7fnRas/s+FT5ieo6yPy5nMdcPRuUD7V2WXBq59auSq1LFdcwrpSBwB1dkjsfrqP2r/33Bwqn6HQ/jaittR7yCRTwFnvscO1EaWpup770nuujYVC0W2wTPmqrqNAKBRyP9WRpVOvIab3TGJ5zhWXvu+CBi3am+p49ae/2pOL1li9Zu38eyd2f/YhgAACCCCAAAIIIIAAAggggECwBCgNAggggAACOUmAAHpOqu00lvVQQU59H+9dVUta6YsLuqm2Nc22gucKonu3VaBSQe7piUx57p2Tkp8Khj44YLQLLiq4pQBZUsGklKTLuZkvoNHVvR4dbxrtm9q7a1p5jbqd//KHptHMueISBklTm3aQrlOQuOgFl9h5F17qOhrc/9CwDO3UkZV2GtGtd8PKD34wvXsy8/2gWTnmzZzkRodfemXxNDNotLg6Cqgzi36qI0uaEyUBCbAggAACCCCAAAIIIIAAAggggEDwBSghAggggAACKRIggJ4irpx9soKcPQaOddP4plSics0GpqmdFeTWaNCUXs/5wRe48NKrbPaLa02jdjXKW9OjJ1Vqjeo9/cxzrFqdJm708Yr139ukuS+bRo/niiNwnpSb9mv67anzV5m+X5uOBhLJmGXD+++Yvrf8s48/sCY1brDBvTvY1i2bMuZmpJqDBSg6AggggAACCCCAAAIIIIAAAggEX4ASIoAAAghktgAB9MwWz+b3u/jyYjZy6gI7pdBphy2JAuX1mra151Z9Yj0eGWeaoviwF3FCjhbQtPgVbq9j+g5oTY+u0bZL395imqZbi75zWdN9axrpp5ett24Pj3TTWWtUdY6Go/AxJ3DdDbeaRr7raxC+/+YrWzBnmrVrfLt9/+3XMZdXMoRAlglwYwQQQAABBBBAAAEEEEAAAQQQCL4AJUQAAQSyoQAB9GxYaVmd5Ysuu9rmvLjO+gydYpdccY1panblyRsVfGejlm408PJ131i7BwYkK9iu61kQiC8QCoWswHEF7YSTTnVLwRNP9ttb/HPZRiCrBfbs+dd27/7Lz8YRefPZlcVLWVxcbrdvx/bv7ctNn7h1PhBAIPsLUAIEEEAAAQQQQAABBBBAAAEEEAi+ACVEAIGcKUAAPWfWe5pLrdHl5aveaZOfXmEaEbzms13mjQru2GOQXXrltQQ606xMAgggkJ0Evvz8U7uj7KXWqcUd9tKip+2JCcOs532Nbe/ePa4YZ55zvp1/0RVunQ8EEEAgiwW4PQIIIIAAAggggAACCCCAAAIIBF+AEiKAQCoFCKCnEo7LEEAAAQQQiBQ4/+LL7ZmXP7CyFavZvCcn2owJQ+3nn7a7zkQly1SwQeNn81UWkWCsI4AAAqkW4EIEEEAAAQQQQAABBBBAAAEEEAi+ACVEIOsECKBnnT13RgABBBAImMBRRx9jVWs1crNzrHh/m2l2Ds3SMXTi01bkrHMDVlqKgwACCCCQKgEuQgABBBBAAAEEEEAAAQQQQACB4AtQwmwtQAA9W1cfmUcAAQQQQAABBBBAAAEEMk+AOyGAAAIIIIAAAggggAACCCCAQPAFcnoJCaDn9BZA+RFAAAEEEEAAAQQQQACBnCFAKRFAAAEEEEAAAQQQQAABBBBAIPgCaS4hAfQ0E5IAAggggAACCCCAAAIIIIAAAhktQPoIIIAAAggggAACCCCAAAIIIJAZAlkbQM+MEnKPVAn8+fdeOzZ/HAsGtAHaAG2ANkAboA3QBmgDtAHaAG2ANpD2NoAhhrQB2gBtgDZAG6AN0AZoA7QB2kCMtoGj88WlKpbGRcEVIICehroN8qVH5Y2z33bvZcGANkAboA3QBmgDtAHaAG2ANkAboA3QBnJ8G+D/j/n3AdoAbYA2QBugDdAGaAO0AdpAcNvAH3/vC3LIj7KlQoAAeirQAnIJxUAAAQQQQAABBBBAAAEEEEAAgeALUEIEEEAAAQQQQAABBBBAAIEUCBBATwEWp8aSAHlBAAEEEEAAAQQQQAABBBBAAIHgC1BCBBBAAAEEEEAAAQQyWuC/jL4B6WczAQLo2azCyG5ABCgGAggggAACCCCAAAIIIIAAAggEX4ASIoAAAggggAACCCCAQLYTIICe7aqMDCOQ9QLkAAEEEEAAAQQQQAABBBBAAAEEgi9ACRFAAAEEEEAAAQQQyIkCBNBzYq1TZgRytgClRwABBBBAAAEEEEAAAQQQQACB4AtQQgQQQAABBBBAAAEEUiVAAD1VbFx0KIHdf/1pn3y4zhbNm2GDHmpvjauVshplLrZbrixkJS8oELVUKH6mO3Zfk9ttyqiB7rp//ve38V/mC+zbu9dWLH3O7ix3pd1+w4W2ccP6zM9ENrzjnj3/2ob337XBvTtY5ZLnWumLjrdxQ3rb//7enUGlIdlYElD9f/P1F7bypedt7JCH7L7wu6xG+H1X6fqiUe86vftuvORE977TO3Fo3862euVS27Xzl1gqDnmJUYH//vvPtn612b1bape/yr1n1J7uv7e22x+j2SZbCCCAAAIIIIAAAgggkCYBLkYAAQQQQAABBBDIKgEC6FklH6D7KvD68Qdr7bEBk6CPbgAAEABJREFU3Vzg9ZarCluLO2+2R3q0s+fnTrdNGzfY9m3f2e7dfyUo9e+7drpja9981aaOHeSuuzkcaFdw6ecdPyQ4nx0ZI/Dbrl/toU7NrFeHJvbd1i3204/bXIcGOjMk7a32/PSM8a7N31PnVlswZ5r9+vMO27dvn82cMiL8PDxgCq4mnUIOPRKAYut9NnvqaGt2RxlTELNO+autx32N7KkpI03vMh3f+ctPCUqq9qBjeic+O2uKdW1Z124rcbap/egdqiBpgovYkaMF9Pt13VuvWZMaN1jdCsXcu+Xbr7907xm1pzWrXrKWdcvblk2f5mgnCo8AAggggAACCCCAAAIxKECWEEAAAQQQQACBbCxAAD2Nlbd3795DpnC444e8OBsc/PGH761lg4p2d+1b7JkZE1zgNa3ZVgBSwaU7y11lCg6kNT2uP7TAtu+2WodmNeyVFxdEnfjFpk/s9992Ru1jw9zIcgVKK113jo0Y8IAlFii18H+LnnnCVi1bFF7jT1AEFLDU7AIaYT56UM90m6VBMxjoHTpmcK9s0+lCgd3li+dZuWKnW73brrUvPv84KNUcM+XYsnmj3V3nVmvXuKpt+vSjqHwdV/BEf3vnrz/bgrnT/G1WMkeAZyBznLkLAggggAACCCCAAAJZJcB9EUAAAQQQQCBnCxBAT2P979ixw4477jgrWLBgoss///xjQQ2ia6r2gd1b24b171hG/Pf37r+sT5e73bTuGZE+aZoLyrRuUDHRQOCphc6w/EceDVOEwPp3VlvDqtebpuo+3BTtGk288Onpic68EJFkmlf//ON3e2LCMDfyOc2JkcAhBdRJSLMLHPKkNBzUqPY508ea2k4akjnUpelyTLMvPNKznfXu3NzU/rZu2WS//LQjXdImEXOmw/t1sQaVS9inH73nk1x65bU2YfZL9trHP9mSNZutfNU7/WMKtqte/B2sJFtAbTil71BZ8wwkm5gTEUAAAQQQQAABBBBAIPMFuCMCCCCAAALZWmDnzp2WP3/+ROOuXjx2+/btlpH/EUBPo+6pp55qqshffvnFEltUwXFxcWm8S+xdrgDP/FmT7Z03VmZo5v74bZdNHjXAjfrN0BulIXFNp9ugynX2QJsGlp2mPN+4Yb21b1rNTaGfWPHPv/hyO/IoAuiyUbBco4Pb3FXZTXGvfYdbjjr6GKvXrF34JX/k4U5N9XEF1xpWKWETH3vYli6Ynep0YvlClbFB+Plq1eA2y8qvdfjkw3U2bfyQDKeaMXG4bdkcu9Nx//zTduvU4g5b8uxTvsWV15YyBXf9HRm2EvyE1UlH07XPmznJL+xpRc620U8ssolzltvlV19nuXPncUF2fd2GfxIrqRLQ+6VhCt+hPAOpouYiBBBAAAEEEEAAAQQQQCAFApyKAAIIIJDTBTRweffu3YnGXX85EI895ZRTMpSJAHqG8gY3cU0nq0DP4Up4wkmn2iVXXGO3125iVxUv7U4/8eRCNuP5N+zZlRts8IQ59uCA0Val1l2mIIE7Id7HB2vftC1ffBZvb2xs/vD9N9b5nlru+2c/++T9bDPluYKB94WD55r6V5KnFD7dTil0mlbdkifPEVauSi23ntM/NMW9grezHh+VLAoFznsPnWxL395i199YLlnXpOakNateMgX09Z3aqbk+O1zjlVHf7/zB2jX26Yb1WZJtzbYxaUQ/U4eeQ2XgmALHWZGzz7PbqtezWyvVtLi43O70XoMm2KLVn9mYJ5fYw8OnWoMW7d17UYFQd0LEh+6xZtWyiD2xs6r33X1NqpnqwsuV3hX3tO9h+Y88ytvFz6QEDrE/qU46Neu3sBkL11ix6260UCjkp/DW6y9Hzc5y9rkXZmhnHf/GAVrx3i8peYfyDASoAVAUBBBAAAEEEEAAAQQQQCCjBEgXAQQQQCAQAgTQA1GNmVsI/UO/RoUr0BN551MLn2F3NmppI6c9b8ve3WprPtvlgkaTn15hrTr3Nk3JrvOLXnCxnXFWUdP5pcveZlVrNbLuA8bYM8vft1UfbrdB42bZeRddplPdout++O4btx5LH3v2/GtjBvW0b776wmXr+IIn2RF587n1WP5Q8LxD8xp+MLB46Zut28Mj7c8///CzfcMtlezCS6/yt3Pqyob337Hmd5RJdIr7pEz+3r3b+t5/t918RSE3MlztJKlzU7t/1bJFbsaDv3f/5SehAJq/EYAVdVwY3r+r/97Il/9IU+cby4L/Xlw4N8FsG/nD+SlT4XbrPWSSLXj1U1v9yS/20jtf25wX11rPR8fb6eF33N69e+zoYwvYBZdcYepMdHXx0nZr5TusTZeHTe9Fve+eXLTGKlarG1WqzZ9tiLlp3DXThmasUGeGyMze3aGHXV7s+shdrKdQQCOau7SsY5GddNS5Qh0vOj80NEFgXEHcySP7+21EnRgyo8NTCosV06en5h3KMxDTVUrmEEAAAQQQQAABBBBAAAEE0kmAZBBAAAEE9gsQQN/vwGcKBDZt/MjeWf2K5cqVyxR87T/yCVu29hs3orxjj0F2bckyLmjkJakA4vhhfd13ueoajajLmy+/dzjqpwLQN9xS2SbNWW6VatT3j3379f4gtb8jBlYWzXvSXnlxgZ+ToudfbEcfU8DfjsUVBV76drnbD55fd8Ot1rZLP3ssHKj0OkQoGFO3aRs3TXAsliGz8qQAS+sGlcwbpZ/c+ypoqnPV7vW9ugvmTNNmui0aNflw13tM6XuJhkKhcJD2Sm8z2/9U2cYO7mXff/OVX5aSN5W3cy+4xN/OrJU/fv/NXjgwXblGl7fu0tfmv/KRvbz+exs46kmrcHsdO/nUwpYrLs7P0qvLFtmMCcPcdrlwwPzMc8536/E/csXFWdHzLzEFSvsOe9wfYbxj+za/40D8a7JiW+8NzbTxzYHOQl4eipcqa3fUv9vPt7efn8kX0BTiLWqVtbVvvupfpE4XwybPczMZhEIHR53rBD0b08cP9Ttuad/V191g5114sNOZ9rEkEPB3pOYdyjPg87GCAAIIIIAAAggggAACCCCAQCwLkDcEEEAg3QQIoKcbZcASiv43+6jCaWTyc6s+tlfe32YjHn/Obq5YPRw4PjbqnMiN1SuW2uJ5M9yuanWamAJhbuMQHwqwa3TnIU7J0kMahTl5RH8/D6FQyG6pVDOmA0kKBA7s3sYPvFxz/U320OCJNu+pyf4+C/+n0bAXXXZ1eC3z/mzdssnGDnnInpz0mGmGg8y7c+J3WvXSQuvZvlFUkDrxM8199UDXviNs4esb7Y2NO+3pZevdDAve+a+9vNh2R4wU9/an5qdmD+jT5W4XXL3impJWs15zl4wCu0XPv9itB+FDnRdWvvS8XxQFFBvd2zlLOnVoSv6hk55xs2podHnDFh2s0GlFknzWFWgbP7yP7du3zxQ4b9yyi8UdmMrdL1C8lVAoZFeXKG0nR3yNQrxT/E09H8sWPWND+3Syjz9Y6+/PqJUff/jeure7K+odoXtpFpEH+o/OlKnbM7vMKl9mLArkxv8ahuOOP8FGTXvedUSLn4f//vvP5kwfawufnu4fUqe0ek3bmX5n+jtZSVIgNe/QWHgGzJIsEgcQQAABBBBAAAEEEEAAAQQQQCAwAhQEAQRiSYAAeizVRjbJi6aWLXjiycmarlxTng7r18UFk84+7yJr0a67xR0mmOQxfPz+u96qnX5mUX89q1c0AvDxMY9GjUy++PJidumVxbM6a0neX3keM7iXP8pRwdfeQyfb0gWzo4Ixmmb6rns6Wlwy6yjJGybzgAJC82ZOsvqVittTU0ba+GF97L13Vifz6ow5TcHbhzo1c232UHc4rcjZNmLqApv74jqrXrepm148FAqF2+o5VqlGA//Sb77+wv764zd/O7UrCsx6swcUK3GjPdBvpK1fu8Yld2ulmqZn0m1k849ff95h08YN9qenVnEUtD4v4msdtC+zllAoZAWOKxg1q0ZS93bP2YGvdVBgs2PPwabR6UmdH7n/261b7KftP7hdJ51SyPLlP9KtR34okNeqwW3W5/4W9uzsx91XBKRX54zI+3jr6nTT/4GWtnHDem+X+3n0sQWs95DJ7ms43I4M/MjsMmdgUfyk9d5b8uxT1rVVXdcZxjug4PnwKfMT/foMXfPCc7NswrC+3unu523V67nOF26Dj0MKpOYdGgvPwCELlV0Okk8EEEAAAQQQQAABBBBAAAEEEAi+ACVEIGACuQJWHooTQwL6h+fBvTvYzzt+ME0L3rXPcDv+hJOSlcPt276zFUufc+cqmHv8CSe69Vj4UIA1cnSs8lSr4T2HHIWvc7JqUeAlctSiRo72HjLJfv5xu00bPyQqW/WbtXUB4KidGbjx1eaNNnXMo36wWkHD45PZRjIiWxqdOLBHm8OOPK/f/D6buehNK16qbNTU3RmRJ6WpZ8mbPUBBtk69BruOBpoJQZ0eNI24zgvCosCiyuWVRbMhaOaKUOgQ02J4J2fhT+85877WoVHLzomOIk4si5r2/4VnZ5l+6nihREa4K/1ZU0dFBbNPKXS65Uvi6zCUTloW1xkgotONl5Y6BnTvP8bUacjbl1E/M7vMGVWOyHRVJv1ue6RHW/+9p+PqlKCZDjTDi7Yjl6Su0bu8ebsHs2Rmhsj8ZYf11LxDY+EZyA62OSGPlBEBBBBAAAEEEEAAAQQQQAABBIIvQAkRiC9AAD2+CNvpIqB/8F8wd6o/4ln/yH95seuTlbb+0VojUDV6XRcUOftcNxWy1rN6SWx0bOWaDdz07Vmdt6Tu/+qyRf6oRQVf+w573E48+VSbMXGY/fHbLv8yBSorhcvi78iEle++/SpqJH/5qrXt3AsuSXDnfXv32gfr3jRNh77z158THE+PHRrp2q9byyiT+OkqwD9o/Gxr0+XhJKdM/ud/f9tH773lX1r49LPsyKOO8bdTuqLnIXL2gPbdH7E8R+S1qWMGuaQyu9ODu2kGfajjzMJnnvBTV8eb+x4Y4EaA+ztjdOXTj94LP1PDXe40w0P9ZvclOc27Oyni4/WXX7Alz850e0KhkF1d4ka3Hvnx9+6/bNOnH/m7FHCtUa95su/hX5iMFb2/IzvdRF7SsnNvu6l81chdGbaemWXOsELES1jv4z6dmycIng8YOSNBp4Q3X1tuze4o49pV/Gv0bHQfMCZTZgGIV4Rst5mad2isPAPZDpsMx6IAeUIAAQQQQAABBBBAAAEEEEAAgeALUMIMECCAngGoJGn27ppVftD2mutvspr1WyQr0KNA6azHR0dNK35zxeougLburdesdvmrbHq8UdMp8Vb6H3+w1jQy/vYbLrSSFxSwStcXNQUqkpPOkmefssjRsbE+AtCNqO65f6SjAm7eCEdNj//6iheiivz5Jx+aRoRH7UzFhqaUfqRHO3ugTQP739+7D5nCZVeVsEuv2j/1ffmqd1rbrv0SHU0594lx1qp+RZfm+KF9Dplmavr4LpMAABAASURBVA5q5O8TE4bY119+nuTl8hs0brbdcHOlQ7blb7d+aR+uf9tPp/DpZ5oC7wrQP9i2obVuWMk0GtI/4TAri+Y96T8PpcpWtFJlb7MJw/uaZnYoXqqsVa/b7DAp7D+c1ra/P5XEP5W2RtXWLHupvbxkfuInJWPv4nkzzOs4o9Nr1G9uh+t4s2vnL7YofN3dtW+xGy850T3TmuI8Jca6V1oWdawZ0L2NqUOK2km7bv2TPSPFR+G2MvDAM6o8aGS3OrNoPXLJf+RRVuWOhqYR4McVPNHUEUbnRp6TnHW1wwEPtraW9SpYUkZ6b3gdNCLTbN72AavbpM0h23/k+d66OkZMGtHP7ix3pasfvXcbVLnO1h/m6xoOVWaVIzXPk5cn/VS7TcvvA6WRkkWukXWta1WfGtF/bcky2nSLgrcvv/Csdbm3tmn6/ImPPRwVcNdJLTs9dNhnQ+dFLil9VtJi/PNP261n+8auviuXPNeenzs9MivuKxpUxvLXFrFhD9/vz74QdVIiG7LZ+tVmGzekt9+eyl5xqvtKAx1L5BJblIp3qOoqPZ+BlNonVg72IZAzBSg1AggggAACCCCAAAIIIIAAAggEXyA2S0gAPTbrJVvn6ofvvwn/g3hn9w/+oVDILrniGpszbYyNfrSHC/olVTgFWzXSVsFB75zTzzzHKtVsYE89PtLaNa7qgmuhUC7TP24/O2uKacRw3YrXWI0yF9tjA7olOfW2AiUK8N1x6+WmQNuCOdPspx+3udvs/OUnU4D278MEexXYm/vEeHeNPhT4aBsOlJ1a+Axtxtyieujb5W5TUE95VZBGATcFi+eH7f7995+oPN9YrrIVveDSqH3ehkbwzZs5yTzrBpVL2OaNG7zD/k8FXNqEA8SLwgHNzz553/74/eAId/+kAytK84i8+WzSnOW25rNd1mfolESDjhpxvnj+/tG5ulQB6t1//anVdFvWvfV6ggBPZOKeX2SQK/K4t64AzsJnZpjMvX3XlCxjH3/wrjWpXtpeXb7IlJbqRoHmx/p3de2xRrj9qoOA9nvX6afanBfE0YjT+s3amWZ20DThhc84y7r1G2UKMurcpJY///jdZk4ZYVVKn+/uFb/t9+t6b1SnkPjp6NlRgPiXn35M9PlSnfcIB8p6dWhiyv+Lz88xjcKPn078bQVVlZdHe7W3hU8/YQqKyc477+zzLrLG93a2UCjxqdt1XwWCbytxtqnDhgKhalO6ftmiZ2zD++9oNcMX3XPiiP6+oZ4xvZ9UrvfffSPJ+6utvP7KC9a+aXW/vYRCIWvQokOiz8Fff/5hFarWttWf/movvPmFXX9juQRp67lQx4rI9uedpHpcvnieNahc3NQRSIF7jZr3jns/VYcPd73HNPrb26eft9duYo1b3Z9oBxcdT2xR2xver4t7P08fP9S+27rFP00dkUYP6mm//7bT3xd/Jakyq25T8zx56ctixdLnLC2/D7y0kvtTrt77OPKa+CP6lTf9vnuoY1P3OzTyXG+9dZe+Vrdp2ySfDe88/VQ707PRqcUdltSzMmX0QBfQ1vnekhZjzZTQolZZ03tK6en98eWmT7TqFuVpTvjvBCqj2urqlUtNv4fdwSQ+9PeDpQtmu050dSsUc+80rz3p2PBwEF4d9+Jfnpp3qOoqvZ6BWHlPxXdhGwEEMkmA2yCAAAIIIIAAAggggAACCCCAQLYVSHYAPduWkIxnioD+QXzrgVFhmnL2m6++cPfVfgXF9A/S14UDPscXPMntj/+xZfNGNzJX0wZ7xxRobNWpj61Y+qwbbebt12i8FnfebEP7djb9g/rWLZtMwbj54QDvh+8dHPnrna+RcB2a1zAF+LZ//6232/+pwGTNes0tX778/r74KyrHvKcmRXUAqHXXvVa67G3xT42JbY0sHdi9jXn1EBmkUSB0w/ro4GLdJm3soUETEw3cKTgxpHcnUyDMs9ZI7d/iBb5Uxx1b1HQjJoXw+66d9uvPP2k1alF9KPCp0cK3XFnIDjX6UO5Ln5tlah9eIt9+/WU46LbL20zzT5Vv9rTRiQarylWpZcVK3GiaKvuGWysd9l6fffKBKRjsnXjSKYUtf/6jrNPdtUwdAbT/vbdft0a3l7SHOjWzZ56cGA6ur3XtV1PUPzNjgk5xi8oe2eYqVqsbbn/b3cwOejbadulnhU4r4s5N7EPlemrKSKtS6jz3/CQVoMqbL5/t+29fYkmY2tH999Y2jSBVOtVuvMjUBnSy8vfGyhddQFYdA7RPy6aNG2znr79oNcGi4ODrK5ZYvduudUHVwb07hL2m26O97rM2DSrZju3fu2tUPo2wPf6EhO8L3XdpOJBW65bLXSDYXRDvo2SZCqbZDeLtTtfNXQdGvjcPBwoXPn1wdO17b73uvmrgkiuK2XkXXZ7oPRVYVueJbq3qRQWqq97Z2ErfXNG/RmVd9dJCq1H2Erv16tNcXSbWcUUXrFq2yCpce6ZVLX2Blb+2iOuwpP1aftv1q2tvvTs3N91b+5S2Av1a9xZ1BlCg23tvePuvu+HWBLNDKLit+vTOif9TwfmGVUqYOt7omEbNPzhgtN0Zfm9qW4va6N69e7XqL8rXocqsPKfmefJuoPdPWn8feGkl96eeo8j3sXedOiXo3RsK7e8kIv+xQ3u759U7J/7Pes3aWeQ18Y9Hbuu9eW/dcq7jzFuvvxx5KGr9iDx5bd++g/WQFmP9HujZobF7p3k30e9YvUu9bQXMxw55yNu0Q33NhdqYOn7UKHup6zD33daDnTD8BMIr6oz1X7z32H///WcpfYeqDtLjGdC9Y+E9FabhDwIIIJBqAS5EAAEEEEAAAQQQQAABBBBAICcL5JQAek6u4wwtu/5xe8XS56JGhXmBOo2QnbvsPVuyZrP1fHS8afRurri4qPx8/+3XpmBqg8olTAGXyIMK+p58amHzRuBGHktsfd++ffbJB2ujDn31xWd2b93ytvbNV6P2R25oJPb4YX1NI8Ui90euxw+MXnFNSWvRrnuyRgBGppMZ6woAaCS/V+b4QZqff/rRvGDuUUcfY0MmzLV2DwywvIl0IFBajw14wDSiPDLv1eo0sSuKXefvUtCkfdNq/ihcHbj0ymvttCJna9VfvJGJGgHr7dwVDkR665E/de+pYx41jVKN3K8OANu++zpyV5rW17/7hr2z+pUEaeirB7r0ecxGTltgnXoNsbi43AnOidyh0b8ThvWJCohef1M5U3Beoywjz01qfePH75vS0fGvNm+0ZQuf1qrly3+knX/x5Ta4T0e3/eCAMXZT+apuPbEPPUsNq15vClIpSJnYOdqnMrXs1NvOOe9ibUYt8lc7igy8aTr6giee4kaiPzFhqHVpWccPyEZerGsjt/8LB7LWvfWaNahynXVrXT/RqfIV2PSuqVKrUaIjrJWu2oRmntC6d378n2tWveQC8/H3p8e2gpKRo3nVppVuKBRy06q/umGHjZq+0KqGy6DnS8e8RV9v8PSM8Vb9povMCyx7x9TeIr/CQOWTf/f77jKv44+C33///Zd3if9TAc+BPdq4evF2etPAe+9AbzSwd1w/98SbhUJB+EXPPKFD/qJ8PfzYNNe5RvWoUfWNq5c2BfTvCQdnNeLdP/nAikYCt29W3dSxSbtuq17Pnln+vt1a6Y6our+6xA3u6zl0jpbDlVmBaL0PUvM8KX3Pwns3al/8JTm/D+Jfc6htmWnWiPj3PPOc861Zm27+iH49p0N6d7LZU0cnmVzztg9Yq869/WuSOlFpqe3o9+qG999N6jS3X7+X6zRtbXEH3m9pMdZ91SHqmwMd6NwNwh9VajU0rz3qd8WYQT3DAfuDnXauLl460Zk0tn231Vo2qGjq+OH9vSKcXII/oVDIGt3byYpdd2PUsdS8Q9PjGVA7zur3VBQEGwgggEDOFKDUCCCAAAIIIIAAAggggAACCKRJgAB6mvgy6+LYvI8CXt5IvsRGhd1csbodf/yJUZlXcFBTuT4xYZibDjypUaSaorZOo1Y2Nxxsij+VcFSCERuhUMjOvfBSf4/+ob5b63r2/Tdf+fu8lWMKHOetup8aUf3F5x+79fgf+sfwmZMe8wOjRx9bwNp16+8CSvHPzeptBWvmTB/rBw8V/IoMyil/BU842c4+90K75bYa9tSSd6xU2YpJdgRYNO9JPy1dq0Vpturc1+IOBFzkrOB5ZNDkjLOK2gP9R0cFRRTka9Oosh9UU1oaaVzljrss7kBa2qdFgRiNeH88HEBX/tQZQ/u17N27J9GR7TqW0kVeGkWtn5HXHnf8CdaxxyBXx7ni4pL08a7R9fNnTbZ33ljp7XJB70Knn2kfrH3T33e4lXPOu8hdp/MU8PQ6OiiAPn5YH1PgUB1LKtWon2ie1KFFAVp9TUFiz6S8y1asZuoAonvIcvKogWHPHdr0F5Unsh3pgNp9x56DteoCWpNG9Hfr8T+atO5iCrR7+xU0VlBNX8Gg58zb7/1Unrx1/VRdN27ZOUGQ0MuT2oTOi1xy585jGuUaue/N15ab7h25Ly3reg9MHz/EFJR8K5HRvBdeepVdfHkx+2/fPv82ukbB75cWzjW9K8tdfZqNGPBAgk4HxUvfbP1HPuHam4X/03VD+96fIJiq88678LLwGQf/6Pnre+CrGry96jRTpsLtpo4EmhEkMXdNkV+zfgvvEtcGpo0bbHL2dqpMPR+d4PKl4H3/B1q5mUK8TgN6ppctnued7n5qX4/2jVxb1Q7l5cEBoy1vvnw26/FR/jOid0SDFu39dpycMr8VrtMP1q5RsslaIp8nOaXH74Nk3TjiJFnNmDg8Yo+5r3HQ7zh1ENMBmT8zc6ItmjdDmwkWPSOdeg2xZuEAutp6ghMidijo3KrBbc46Yre/elqRs00doI44Iq/bp84O+soDtxH+SIvxqmULTe/TcDL+H9XzXfd0srjwO151HH90t95tpW6OnslFHvp6Az1r8WdL8RJW4P+mcvs7Een8mZNH2FebP/MOu58pfYdqqvm0PgPKi96dWfWecgXnAwEEEEAgAAIUAQEEEEAAAQQQQAABBBBAIKsFcmV1Brh/9hWYNWXUIUd26x+0NZVwyQsKWMkDyy1XFbaGVa43TcO+dcumBIXXiE2NiG7QvL1p2uGP1r+d4JykdlSv29QU3NVxjaJLbMpcBQ+U/mVXFtdpUYuCiVE7DmyseOFZ0z/EH9i0pq26uECZtx1LP19dtshN8a08RQa/tO0tCto8Pm+l9Rsx3bTu7Y//U1OlTx0zKGq3giHdB451ATUdUFCq8z13+lPFa58CoIPGzbZTC5+hTbdodL9GDSsA7HYc+FAwWIGQA5vuh4Kej/ZqbwvmTLMa9Zq5Ub1nnXO+O+Z9fPv1/q8I8LZT+1Oj3zWlevzr7+7Q0xRgjL8/qe1Id++c22s3tq1ffu5tHvan7ucFFNV+I4O0Gn2pKbPrHWL6ZgWnhvW73wVoNRsuhn31AAAQAElEQVRD5A3V7ns8Ms6Wr/vWrrq2tH303lv+4bx581muuDh/Wyvxg34K4Gmk+imFT3ejzle++LxOS7Aof1Vr3eXv1zP8YNsG9uysKf4+rSg9deCYOGeZjXpiUVTw++77ultiU9MnZqy0ajW8x/oMm2Lxn9+9mhr8v/90SrosH773tk0ZNTDJtDTq/85yV1rpiwv67zt9TYGmX+/b5R7TLAfx60WJ1W9+nw0aO8uOLXC8Nt2iqfwjp4XXzjPOKmqdHxoaDkTn16Zb9u7dY09OGh71/CmI37xtN3tp4dPWtVVdv+OPu+DAxymFTrM+QyabN0W+gn4K4G7Z9OmBM8x0v4Gjn3TvCJWtSY0b3Fdm+CeEV9Rp4eLLrg6v7f+jdjtheF8/eK6OGurAs3fPHjctuRdUVAeVvsMej3pHJKfM6hSx/06H/4z/PKXX74PD3/ngGeoINHnUAN/DO1Km/O1RMyyog8PMSSO8w1E/VVejw8+I2nkoFIo6Fn9j44b11vyOMqafkcf0vGkWgKeWvG1jZiyxzz7+wP7553/+KfqaCW8jLcbxZ1U4+tgC1jvczrzfBe+9vdoWx+skUDocPD8vouOb2uKcaWOsW7yvN1D+9DUA6niw9O0tVqdxa3t79Qrtdos6FuTOk8et60NtMSXvUN03PZ6BrH5PqewsCCCAAAIIZLkAGUAAAQQQQAABBBBAAAEEAiBAAD0AlZhVRdA/UKfnvRUgWPDqp/6I6LjceezII4827z/9Y7xG3g6eMMemPvuqC/B4xzS1rUbH6h/RtU+j6OJPmavvOZ/+3OuW54i8FvkP6zo/X/4j7cSTC1n8/zSacli/Lv7umytWtzsbtfS3Y2lFeR3Ys62bGveMcLDNC36lJo8KJsx9YpxFTs8cPzDuBc8jg26qo4eHT7Wzil7g31ZBvicmDImaulkHNTK1bpM2/ghU7fMCrhqx69XpkUcdbSecdKoO+8tJpxb219OyosD0zzu2RyWhqYZVz1E7D7ER6e6dpumZ6ze7z44+poC3yxTEKlbiRuvad4TNeuEdqxIRaFagcdT05/2A4rdbv7QvPv/Ev1Yr6kzQKonpmxU814jl52ZP1an+ct5Fl5mCb3NfXGeVazawt19fEQ6wd3NtxDup1l33mgKa3rbqa+aUEVFBP3V0uP7GcnZfk2rmjQA+/cxzoq5TfUbmT++Hnu0bu8Cxl7aezxbhAPmSN79wHThOOqWwDep1n2nabJ1TvFRZu/HWKlqNWpTWU4+PjMq3F1hsdX9fF9iNH5wufPqZ/mj+qMRSuaFgaPx7pDIpd5namQKaCjDnjfj6hM8/+dCmjR/izvE+9FxFBiK9/QpsL54309t070R1jHl5yXz31RjKr9qd7uWdpLQGjHrS1Da8fV9t3mgLItqO3h/DJs2zk8P1EzmjQf7wezIUOhjEvbtDD7u82PVeMvbGyqV+p6o8eY6wlh172Y7t35umep8zfaw779Kritvj81eZOvi4HeGP5Jb56GOODZ+9/4/KldznKb1+H+y/c/I/9fUQa1a9FHWBXOo2bRM1w8Lff++OCmh7F+g99MTzb9hVxUt7u5L8qffQfU2rmTdrhU7U86YOGnreeg2aYHreBjzYyiID7OpocFO5g89cao3VFpUH3VeL6qd7/zGmDh3a1ntl8fwno55hnRM5A4l+7+g51zT9usZb1HFHv1cWvr7RGrboYJpdo0+Xu6M6h1SsXtf03vWuSek7ND2egVh4T3nl5ycCCCCAAAIIpF6AKxFAAAEEEEAAAQQQQAABCeTSBwsCqRHQNLAKxqTmWu8aBY7qNW1ri1Z/5r5nWiPQvWMK6mnEpQIO+kd+BQH1XeoKmui7pr858D2rCtw1bnW/H5D4539/24vPz/GScT81aq1z72GmYOzrK5ZE/SO+TlDA97QzztKqv2x4/x27/547/UCigkptu/X37+OfGAMrCmZ70zirTiKCbanK3ZbNn9pLi572r1Wwa9zMpX5gXCPKu7e7yyKD5zq5aSKj8xVYiQzy6bwKt9ex9t0fibJUmh2a1XABV9VX09Zd/eOy13VaVL7IEYval9olscCVRmoWOK5gspL86ovP7KFOzfw2oosUFFJnDo3ub9qmmyl4qX3Dpzxro2csMs2U8Oary2zxvCd1ugt69h4yyU448RS3rY+NH62PCg5pZLfSVEBMx+Mv8Ufv6jnSCN9p81+1YtfdaLni4tx03g93uzeq7d9csbpFjhhXuqovjaLUuhY9XzeVq2r331vbr+/yVe+0WyvfYV6wTjM/KBDs5U+BMI3WjuzEonPmrfjQmoVN5KvOEgMeaO2Png6FQlY3/C7If+RRum3UojxFBufUHsbPesmVbdu3X9kH6xJOk39NyTJRnTOiEkzFxmVXlfBnuEjF5f4l191wq01+eoVNeeYV01cp+AfCKwoyxu+8oPY+YOQMPxAZPs390blPz5jgdz7QeQ8NnmSrXnrevACk9qnDxh+/73LXqB1GBjW1U1/FsfCZGX5dqmNC/xFP2Aknn2qP9GxnmnJegXg9szUb3O1P8a52EdkBRsHDyBHIx4afobFDHnJT3mtGA69NTnjqRSt0WhHd2i3q/DFz8mNRz5DynViZU/M8pdfvA5fZFHyow4U6IelZiLzspvJV3Tshct+ZZ59nV11byt+lNjJj4RrXySRyZgL/hAMrSlszG6izTfwZPvTM6nnTc6nnTfXzSM+2fgcHJaHfrV37DPdnItC+1Bjruvfefs1vG9pWpxuVVetadv36i0U+w9p3/U3l7Ypi12nVLatXLvVnUNEOvU/0u2DO0rXufaNttaUe990V1V70jtXvi1DoYOeOlL5DNcvMzl9/1m0ttc9ALLynXAH4QAABBBBAAIGcLEDZEUAAAQQQQAABBBBAIJ0ECKCnE2ROTEYjy0ZPX2QKjKSk/AqG6zuONQp3xXvfWbsHBlj8EcZKT99HqtHfefPntx4Dx7p/5FfAYH7Ed00rKKcAgf5hXddo+WHbd/bphvVadYtG3nqBnl07f7H33n7d7Y/8KFWmgh1z7HFu2vhHerS1gd3b2j11yvlBJQWeWnXq448Qjrw2q9cVGBnYvY0LRCqf8QNkqcnfmlXL/ACFjEdNX+imclZaCrj17tzcIkcxar++qzzyO5W1T4E3Bc+9Ecbap7p4oN9I02hWbWvRdPEdm9ewzz/5wHWk0BT+ueLizExHzY1i3b9mpuBS5EhDTW2uYKJ3PCU/c8flNpl51yhYpfJ624f6qeC5gsrff/NV1GkKHGlaerXV6eOHmIIq3j6dqCCSN8JYgcLeEVMc67iue++dg220xA232D3te/idCXRO5KKvQnjq8VH+LnV2UPCtXJValituv6G+CiH+iE3NKNCma78E6S5fPM8PyspCnSKG9O7oB8+r1mpkd4QDqV6wVGXQ9O5HHxgdvG/vXps0sp89O3uKnycFuPqNmO63Ia+zxLpw0M076YJLrrRLrrjG2/R/yuOdN1b6wbl8+Y80BYq9aaE/XPe231a9izTSVgFvXavA2HNzokfme+el5KfK9+jYWSkOomuadM2cMXzKfFv14XbTT5UzFDoY7PPyoam833r9ZW/TBfJGTl1gak/+zgMrOlfBU22qDeu53/HD96agtfapXgaPm22fffK+ezdoX5Vw3ZW+5TatukXPXdtGVezV5YvctjotPTLmKSt40snWqcUdtuTZp0xpd+jxqJsZZPbU0e48tYv47934I35/3vGDbXj/XTutyNmm0c+L39hkkW1SCenrGvp3a2lrXl2mTbcoeJlYmVWX08YOSvHz9OsvP6fp98GQPh3tl59+dHlLycemjR/Ze28dfI69a2UQF37veNv6qU4j+mqRJWs2+23k3AsuOWQHEHU8mDrmURv5aHdXT2oPSsurrwEjn/CfNwXzRz/aw+J/9ULzdg9GzSAg49S8s/Se/+yTD3V7t2iUuN7hodDBNv7nn7/bX3/+4Y7rQ8H7hi3a+19J8P7aNTZ2UC+/g4/agb7iQWmpo52uUXvt2aGxbQ//jte2Fr0POvUaYgWOi+70tGXzwa8jONw7dFc4cP7aiheUnKXlGdC7XYZKSPnKiveU7s2CAAIIIIAAAghkXwFyjgACCCCAAAIIIIBA7Ajkip2skJPsJqB/KH579Qr784/fXdar1LrLnl25wUY8/pwNGDXDX7S94NVPbdm7W23NZ7vsqcVv2b0dH3KjmXPF7Q/wuQQiPhQUVpB2x/bvbdikZ/zRl5+FA6xTD3wvt/4B/p4OPU2BLe9SjWrt1+1e+y0cKNe+o48tYPWatfWDhHv3/Gt//XXwH/F1jv7B/OaK1W3L5o0uaL54/kzTVLM65i3qLHBVidLepv9TgYkl4fMVEPR3ZvDK7r/+NI0412g9jVbt1KKmP6pQAWCNxtX32KoDguoopdlRUOudN15xl6ljg0awesYqZ5d765g3jbc7KfyhYIGCMV6gI7zLFOAZ3q+LrXzpeW265f7ew1yHicjzNKKwdcNKzr9kmQp2U7kqUYEjBa/eCQdQlYBGHre+v6/FhQNQKtvSBbPdd3JHBmZ0XnKXgieebPpeXe98BZVPOOngSHBvf/yfG95/x1o3uM2+jxc81zTr6iCg8zUV8TMzJpiCy/WbtnNlUt0pwPnHb/tHBNdp1Mpv27pGweenHh9hq19Zqk23XHjJlX6Qye2I+FD76/9AKz/AJx9N3R85wlfB884RMyl4l999X3eLPE/7P/5grXlTTueKi3PTJSvY740krxoOwLbp+rDNmDjcD1pXqFrbH1Gr/Ax9uLM9MX6Y7fn3XyXpltqNW/kBLnUouLfurbYxopOLTrrsquKuE4vWvUVtcdjD99vyxc94u9xU9HoevR3e6GpvWz/LVqxmqtuZk0fYQx2bmkajan9aF70jNoSDwkpH1jOef8ONJI983z069imbu+w9UzB09Se/uJ+aOUMdP47Im0+XJrlEdgY478JLbeKcl31b7yKv3Q/v1830vtP+0jdXsoLhoLf3FQ567+m9+c8//9jzc6frFNO+2o3u9d+FG8Jt+J46t9oP3261X3/5yZ2j6b6VfotaZd0zni//kTZ4/BwreVMFGznwQRfcjP9O0Pnr3nrNNE3637v/cunoo3ipsqYp6p9ett5uq14vQRve9t1WaxN+7pcvme8HVpMqswK0munhmScnhp+nhywlz9OsqSNNX9WgPMkgJb8P2jWuai8tfNp/vpRGcpfIjijeNer0oefZ2478mSsuznUSO1wb0TWq94c6NrPHwwH0kjeWtxUvzNdut6izzp13tbRccft/t+qZHN6vqy2aN8Md9z7UqUWzyIRC+4PcqscnJz1mms2i0b2dUmT8xMSh9l64DSjtUChk14brPhTan672/fzTdtcpzasH7Tvr3AusyNnnmZ5x3bddoyq29avNOuTa6oBRT0a1fQXPO99Ty+8M4k4Mf2g6/Mj3QXiX/aTOkTUA6AAAEABJREFUGx+8q1W3yDzyd47beeBDPmrbWzZ94vak5RnQu9YlEv5Qx73IfGXmeyp8e/4ggAACCCCAAAIIZIUA90QAAQQQQAABBBAIlAAB9EBVZ+YWRt8ZOmfaGHdTBVUa3dPJjdAuXvpmK1uhmr9oW9NZK3jhTk7Gx4I5U23jx++74PllV5VwV+gf+BWs9oI0+sfpc8672B3Th0YE31u3vP304zY/SKR/OC90+lk67Ja43HnsyCOPtsj/FIxoc1dlN9WwRvPqPpHHtb4hHDQbM6inCwprW8v6d1Zbw6rX24DubezLA//4rv1Kb3DvDlah+Jl2d+1b/OC2jqVleSccRK50fVG75arCVrPspda1ZV0bN6S3G+XppaspaDVtcOe7a1nlkufaDRcXtLuqlrRRj3S35AbV//rjN/vm6y9ckpddXdwKnV7Erau8iQU+dfC6G281Bb+0rkUGCvA8O2uK/e9/f2uXC6ApaBMKHQysbN64wdo0quzqTCcpcHzHzZfbqmWLtOmCK5qOWqMr1X680doKuiiwqmmLjyt4Qjg4ncudn9IPdQw465zz/cvyH3mU33b8nRErCnCrc0XrBpVM1hGHrF6zduZNs66OHtPHDXEdRTTKMlfc/mCWOje8/+4b7jIFdEqWqeDW9aEyPdKznU0c3t89R9qnJanOAerM0DkcGP/ko/d0mlvuvq9H1LXvrlllOkcBewXvLr3yWneeRqlH3ltt/vVXXrC24bpQujpJZe3QvIYtfHp/AFajjjVbxHtvr/aD7DpPoztDoZDpui4t69iCOdPs8mIHp2VWOYucda4pPdnpGdUIUuVHs1EoDS0aNa6f3uIFWBc+/YQbxeztV75DoYNt6OhjCniH/J/qWFG+2Bk2flgfd23TNl39Y6ldUaBNo3O994+moj83HOTWeyjyfXfjrVXsjDOLumBorrj99Z7ce0aOmpXNSacUirpUedBIYrX7Xb/uD3rrhNdeXmwt61VwnRo0Almj0c+94FJ7YsJQF/TWOeddeJkVOu1Mvx7UhvUVBnfd09GUrs55dfki07tQ9aPnbeS0BW6a/JGPPGgaUa5z2nZ92E4/8xytus5Tj/Xvago06x3pdh74uOb6Mm6K+lDoYF3pkNraGytftEa3lzR1orj86v3vdx1LqswPd703HCR+1s1QoK/8yBW33zU5z9P8mVMsd548St5S+vtAnXuatO5iRS+4xF2f3I/ff9tpH61/J8HpF152laljR4IDKdihDijNa5UNvyMXmjq0XFW8VPj9+YNLQTMbVK/TLPw+3G+ud8qjvdqbFzwvGX7f5MlzhDs3slOLdmjWi8mjBpjaj87LFZd846mjB5k6HymdE08uZJEzhLj3wr0JO13JVr+jbrmykHtOw5nW5W6J37FIv9v1Lvrmqy9ccF1/p9CJJ5x4ilWp2TB86f7yap981AFk65ebtOmWQ71D9c7SLBV79uxx56blGVBnL5dI+EOGodDBfGXWeyp8a/4ggAACCCCAAAIIIJAqAS5CAAEEEEAAAQQQiBZIXdQpOg22cqCApsyeM32ceUHExi07+0GV9OBQUHTUtOfNC54rzV07o6df3xEOlGtkm4IEGsHW6PZS9vfuP637gLF23Akn6hJTUC5yqvCjjznWzggH8yziP41u9MpR6PQzI45Ery5b9IwL+GjEvUZWK9C07duv3ZTjJUrf4k7WyPme7Ru7IOLvu3aaRvTOmDjMBYLdCan80IjzYQ93tsgRfMlJSmX74vOPbc70seYF1W+69CQX2NfodQX+/zkQ4PbS2/HjD7br11/c5hFH5DWVySuvAms6cP2N5cLBuP2BdW1ffFkxizswKlyjURtXK+UCPDeWq2q5DgQRFKTTVNqqL12jtEYM6GYK7mrbWzRyfWCPNqbOEs1q3mQvLZzrAjKT5ix3o7U3f/axab+C8/o+8YcGTYyahcBLJzk/NdrzunBZvHM1Qlz397Yjf2r0cae773AjKeOfc0+Hntaqc2/zvkpAU8Pf98BAU3AyV9z+QJTS0nefK4Codbl/+/WXpmdJnSMahQOKSxfMttb397HjC+5vvzpv7VuvmWYT0LoW3VvfT9+gcnH3ncJFD3QiUTBJwVydo3soKKQ6l68C5r2HTPKnPtZ3b+srC3Su6kWj4ru1qmfHFijoAmjaH7mccVZR6z5wrOU/8kh75cXn/OnUdc4Lz82ySSP7W50KV7vOImUrVjOVXbMh6LjKqY4RD7Zt6NspP489/qxp9gedo2Xv3r364QK8etYaVC5h6mDx8GPTTO1NB/PlP9I0JbrWvaXI2edaXLjtedv6+Xv42duz51/XbgaNmx3VqUDHU7O8+drLfscBdRooU/721CRzyGv0rHknaFrzD997y1mrzl8LB8kbVr3ePcvqzBDZeci7Rj81Avmm8lVNz/2GiCCuphRfMGeqtaxfwdVD7nBQuf+I6Xb+JVfoMrfofaUOAgqea+YQvX/Xv/uGX245652qZ1hB2eo3XWSayr/Ffd3tuhv2vwNdQuGP7du+dXkPr/p/FEzt3u4uN2uEnjVNve0FXnVSUmVetuhpV5fDpzxrecLvJJ2rJTnP093tu1vBE07W6Sn+faDnum6TNlEBWpfQYT5+3rE9wewUuuSCi6+0uHhtVfuTs6gN6J2tTlnfbd1ievd16jXYQrly+c5qF/odp/TUienBtg3c+1NB8U69hrgOBPo6DT1HkUFuBZ37dW1pe8NB5Caturj3rNLQkhzj9t0H2vkXXa7T3fO7599/3LrSjex0pXxohLfu70448KH3QPFSN7st+VxTsoxb18eG9w/O9qFp3R8d85T9+ftvOmRFzjnPfx+og45Gz6uDzp9//mHqLOJOCn8c6h264f13reHdHcJn7f+Tlmfgxlsqu0TyZeF7ymWADwQQQAABBBBAAAEEcp4AJUYAAQQQQAABBNJdIFe6p0iCOUJAgZkXn5/jl1WjRBXg9nekcaXKHXeZgmyRyfy0fVs4APitv0vTZ9cpf7V5I9hOLnSaPfb4c3bpVcXdCFCdqKCnF3RW/h7p0c4UiNIxb9E/6pe8qbxNfnqF6budvf3xfyrwoOu9oJH+0X9kOMhfq+E9foBl+ZJ5LogYee0Vxa63yCB+5LHkrCuoNrB7G9Pou+Scf7hzFIhRkECj1xtWud7KXH6KG9GuaWw18lzBX5konWWLnrHbSpztgmTa1nJ77SZWvV4zN428trWo3AqodWxew41G3b7tOzc6sm2Xh+2YAsfrFLcsnvekq6+SFxSwGmUutvfeWe0CtsVLlXXHvQ8FfTWyXyPPNdpw0LhZ7n6dWtzhRq5qv4JbCgpphLN3XWp+3hAOengjaj/7+H17KxwoVQBaaSn4+9brL1uHZtXdDAUKdGu/txx19DGm7y5u3PJ+P3iuYxqZfHvtxn670D4FHdUeta5F99DXFNxw8QkufXXGeHDAGKvbtK2deloRneKWLZs+NX3XuoLmqrPbb7jQ+t5/twucDQoHh0uWKe/O8z7UwUOjgtWRQ3WtgPao6Qvth3BAU1+JoPNWvvS8zZ462jSiukbZS23W46NcgLLHI2Pt6GMK6BR/UTC194Hvaf95x4/2wdo3/WNaWfXSQtNoewXiK9xex3o+OsGKnn+xXXT51TrsgnvTxg02jXDXDtXniKnPmQL428N50j4taj8KgDW94ybrc38LU4B32OR5ViYcDPZGACu4+8VnH7s0FTBT3fRs39j27t0/elTpaNEo2NZd+rrp1c8qeoF2pWnRu+PJScPdfZXQu2+stI8/XKfVdF2KnH2en94fv+2yVvUrWqkLj7MbLznRHmjTwBQ4veKaktZ76GQrfMaZ/rneip5NL+C77q3XTe8s75ieKc3moICh6nSQazsVLG/e/FHtVMc0/bs6Y8hVHSTUVpWOtts2qmJ65+pdmCfPETZi6gJr2rqrnRcOoCr4qfO0zH9qsnsXqF7V2aXZHWVM785Xly8ydTRRxwi9b4ucfXAGCOUxqTKPeXJxuM0UUNJuSe7zdGejVnbGWUXdNXr+UvL7IP5z7RJJxseO8O8qjUKPf2pcRGea+McOta3ZGPQ1F3r+1SlKs114774zw21GnWe861VX6956zTRK/Z3Vr5iCuZqGv8LttU0dFHSenqMpIweY6lbvVJ374w/fmd6pjVsdfJcl1/iOBvfYldeWUtKmTm362odHe97n8rA9/LtAB7w6bxP+naAg+HkXXmoaMd97yCSbv3KDla96p07zF71P1GGg9YHZPvT3gYlzXra43Llt44b33XkfrF1jeofpvVGnYjF7bEC38PvrWHPpX3SZO0cfh3uH6pkKhSJGix9bwM1+k9Jn4IJLr/w/e2cCb9tUP/Dffg8ZHp75SXhk7G94ZQihpxAZM6SSqVCmUmlAZI7IlGQOUYSSoYgyZcwYhWSeQuZ5/r/vfta177nn3HvuGe6Zvu/z1t17r732Gr7rt8bfWusQXMC3FfVUHrh/JCABCUhAAhKQgAQkIAEJSEACEmg2Af2XgAR6hIAK9B7J6EYmc/LE9hH9lDMrfnrNSDtOGxlW0a8pppwyV7wU7dI9k+tHn/anQFmGsnqVNdbPX911xy2BwnGdFRfOFcF/Ovc3uT0K4t1/fHRcfddz8bc7n41Djjsrn8xfd+MtYrEJy+Ruyv1BAYOC8pOrrRMnn/u3/Hjj5I4dlZdeeE56zK8oo1Bg5g81/jn/rFMGKOVr9KriZ+xwHzV6dMw5SXE76xxzxhxzfqis289MUpB+c7cfx33/vrNPmYhDjuNFoZYUzGl3JEf3oyjBTTkz9TTTxo9/fnrsuv/PcwVuOTcogb6wxtKBogeFKQsXUNrVqtwqDYNdjdt/Z+9ckY/yCaX2Gh8fH59d/sP54gLCvWGSwrT0u09NkrEzLr4pPrHKGv0UkKXu0vPoUaNiqsLu2WTPFQ4oudbaYNPcL3b+Yp8MOzlRmqNQQgE47/wLxXFnXBLLrDAxVl9743wnN4qrLTdYOT6zzDx9Cx6+sOUOsedBx+Y7x1FcJv9Q8KBMPe7w/QL/2LmKgpJw55n/fSUu5YTjwFEk8e0zTz8Z5RSDvCOsH+x7RL5YhEUN631+qzwtvEsGNwf9/Ndl64rHHn4gV4AhS/MW0se3HL3N8d7c77/r9vnPE6y21IdymXju2aexDpRg51/977jm7ufjvKvuii9vvXOwwCF/WecfdvOTB8mbhf9vQr5IID036grnLMsqeseu94OO/nWgMP3Ikkv3c0ce7vi9ffvqyIfuf/8I66JD5P2ISUpvZAd7jolnMQP3Kb+RA56ff/aZ/JQD7kvNSp/6bF4HLvuJVfJ8/vBC/xeLvKdATG5vvv6qoF44ZO/vBHUx9uTtqeddHZ9aY/38u+Gkme+TGT1qVFXladppp4ta24Msy1Jww7q+/vqr/erH9PHLL03eOZ2eh7pObmsPj01W/1iwaI382Xn3A2OHXfbuy+c5P9dTWboAABAASURBVDRvfHqtDXKvfnXcYflPh3CkPostyOuf/+rCWGHiZ+K+e+4MylbucNIflOn7/WC7uO6qS3O/9jjomCitU0ePGlUV4yzLAvnjp1wmeZ2fHnLepHaLewx19mEn/q4vz1lEc8ofro7jf/uXoE2hzV52hVWCMs4ijW9/dYNYbam5858oYREQcs+iG9qT6668pG/BDIsJSDOKc9KLbB19+p/ydjnJMOFjKL+V6tBGlYFW11Oksz7j1xKQgAQkIAEJSEACEpCABCQgAQl0PwFTKAEJVEtABXq1pHTXR4CjgFFqJotFF/9YbLLF9rkyJNk14zrnJOXu4h/7+ACvN97sa/Hz0/4YTK6nl6uttVE+oc8zE/BPP/VfbnPD7lR2jidlZW753p97774j7v7nbfkTyor8puTPrvv/LA742a/6hYcTFOhPFHbUYrfaWhtWVAzzfijz2CMPxhknH93PGUoGdppi1lz/i8GuVRQl7PDr53AYD+xoTEeQo+xYe8MvD/gapXhSkFZSzvHRtjv/MD/WHiUqR6R/fpJslGOJ3Jx87lWBIo74H3rCObHYR5fFi4qG3f5nXXpbLPue0q6iw2G+4MhrFlQkhhwBjmK5nDefXG2dOOOiG2O/I07JFZnl3JSzg8UnPrXmgFeJwwqTlFzpJfcog9Jz8Yq8n/S7K/LFItgjDxwVzz07eFEqoThmZ/xOP9g/yAcUof/+1z9wMsBwpDJuUcpOM0nZ+IWtdsgXE8ACJrBJH4374Nwx56RymJ654g7lWwoLO8yKn1ojkBnu55pnvvjZKedH0c2MM83c76ho3GGQ6RPO+muwGIZnzEyzzBbb7LRbHi+eyRt2x3KPWWejzQP5IQ08N9JwAsQff3d6n5dTTjlVfGMS1xnHztxn16ibJSbVbysU5CD5C2N27u5z2El9iw+WXu6TeTnADcrLHx1yfL77lmdMqQIRO9ydcPZlgczxjGF3NgpNyuiu+x8Vxfyecqqp+sLDLQbZ2vunJ8aPjzqtXx04ZvoZYvOvf6cvj3BbNMghaTj591f2y9vhpLno33DKU63tQTG84dwXd+IXv7vrn7cGSvGiXbl7FvKwi5wj+9l1Ths29TTTBotsPr/5djFq9Oi+z7Isiy995Rt5O0PZpw7gJQsUUFKnvP7XP27qUzzzPhnK5rFn/Dkod1mWJev8OhzG+LPJltvl3xX/UKefeM7luVK7aF96Txn/+rf3DOSQsk2akftv7X5Q7Hf4ybkcYs/pKaXf8kx6SUeqNyhH1dahjSoDpKFV9RQMet4IQAISkIAEJCABCUhAAhKQgAQkIIHuJ2AKJTCCBFSgjyDsbgnq6ssu6tt9PmaGGeM7ex4SzVAmlfJCAfOD/Y4MlD1ZluVKoKMnKc53njTBzg62onuUOT8+6vT4/Bbb5bvrmIjnuNi9DjkhzrrklrKT+ex8O+fXJ/SlDaXg5f94Is7/292x5fbf7fOeSfIs669o4CX2O35331yhnWVZvutvu+/sHaNHT8HrmgxHiHNUNfFH4X/6hdfHaedfGyiyMcQRZe7vL/9XXPnP/wXx/d1ldwTK3fU22TLmmqS4HCrgovI8ud14868HSlmUGSw42OewX8Z39zosV8bippxyDiU4StLSXYzsdN1rksJt7Myz8mm+y3DfSQqR48+8NOYZv0Buxx8Us8ecflGwuAHlR8pTuG7wpa3j7L/8I1fMo8DDfSNNlmW5Aun3l98RW263S3xo3vlzRQ5hsKtypU+vFRw1/OcbH84Vhyxa4N1wzTobbRZf23mP3G94fOuHPwlkuMgBP1kMctAvfpPvquYZBiijyWu+SWx4h+HY9132OjRXMq09KYzSnfGjRo+OD3xg6ij+QzbIL5SalK30bqVPfTYuuv6BuPjvD+ZMsux9WWdxxY7f3y9XOhIHTmwgX8op35DZXX50aO7PmRfdlJe5LHvfL8rFZtt8K1f84ZY8P/W8a+KHB/6i7M5xFLvIBgsGsizL45CYsKiF+KQ0NPJ677//GXfdcWufl9vsvHsssdTyfc+NvCEfqOM+tcb6ubekKTHedOtv5nVZ/mLSHxY7cHLGH6+7Lw4/8fcDFnOsutaG+e5e2MKMMlfOHfnwwx8fnec5dUyWvZ9H7EynPBAv6oHtv7t3nHvFnbHa2hvFqNHvK3EnRSf/j+ycdM4VseQkPoSLod6l7BBP0oBfueP3/vBcbZrf+6TvUm15qqU96AukhpvZZp8zpp1uzIAv/371ZXHtFZcMsE8W1PW333J9bL3xp/Lj79lVzbtFFvtoUPdTRnguNdQXlA1OYZh7/IfjgCN/FeR38VSYaaaZrvSzYEHSyb+/KpKSfYCDSRbVMs6ySYr8rXaa1DYdGdRtyAsLLajTqdsneTXkf+Tn4GN/G9S5y620apx24XVBWzRq9GRZGz1q1IAd8bQHhLPPoe8vLiEgmFRbhzayDHxy9XXyNowyl2XZiNVTpFnT2QSMvQQkIAEJSEACEpCABCQgAQlIQALdT8AUdhYBFeidlV9tEdtn/vdUHg+Uq8XjnXPLJv9hhylKII5eP/Hsy2LCMp+ouPOdifWddzswVyyjXOa42NXX2bhPCVwa1XvuuiP+9tc/5dYofT6xyprBDjwm86eddkxuP9ifLMti4mfWzXcnE79DJikCUNwM9s1Q78Z/eOHgWGriz27g+RZYpGJ68Yv4sksYBdz39zkizrrk1vjbv54JlF4o1VFEc6Q6ym6uKFmKxwHjBwbF13bf2Sv+duez+XHYq352g37hfma9TWKdjTbHaa4gQLF22gXXD1CS4iDLsuD7P157b3689ukXXBefXvNzZRVwo0aPzo8lh91fbn08d3/hNf+JXX700/jgh+bFu6Ya8nrbSQru3/75ljztHAfOAgqOzeao4XrzE65bTFLQwxUe7CZHgVguUfOMXyB+cfqf+hh8b+/Do5LiPsuy2OCLX42Lbnggdtv/qKCcFP1E8b3F13fJZR/lFkp4FmIstdzK/fI1fTNmhhljmmmnS4/9rsuvvFouE+QPik8UVf0cFB6yLAuUsKNGT1aAFV7ltwsuunj85k9/z8soeb7Awv9XNj44zrIsly/kh/LFMe2DMeGbRphXXn6pb+cupz58YcsdKsaxEeGRd5RVZG8oxsgTeTtq9EC+yCqKa+oOmFUqc8SZeoM8577UrLzq2nHZbf/N87yaY/EX+sgS8YtfX5TnKWFT71J2pplm2lKv+55nmXWOfNFPNWnu+2jSDemvtjwNtz2Y5H3N/8fNNU9QV5d6wA7xfb7/tTjvt6cEJxvwnp3WDz94b5xyzE9j7RUXiq99YfW48/abeZWbrb+xW14PDKWEphxSX5x58c1BO5RlWf59+jNxkmIXpXSWZcEVhfy39zi47GKV9A3X4TAeNXp0rPv5LYK6jfJZaaEF/lYyy0+qX6hzOVGCOrDoDjllYRfKeepN5JG2rVI4fA8T5Ip2ZLD6Ar8bUQayrDX1VJGT9xJoAQGDlIAEJCABCUhAAhKQgAQkIAEJSKD7CfRcClWg91yW15/gbb/1w/jKDt+Po069oN9xv/X73Fof/vT7X8drr76SRwKFDwooHt5999148L5/cxujR0+RKwTzhw75M2r06PyoZZTqKKI51vf3l/8ruA6mVBsseSjDdt3/Z7lyF0UJigwUVIN947vWEmDxCIpQlFuDKe5bG8v2C50TFH6w75HBgpRv7X5gv13g7RdbY9QOBGg7PrvBpmWjQhtz4B7fiNWXnjtWWHjGWPn/Zo1NVv9YHHvYPsFPE8R7/9gVjpKbthZl8XvWNV9YOINSmsUnXMsp+Gv2fAQ/ZJc9bQ51GQu3bHdGEL5BSaBrCZgwCUhAAhKQgAQkIAEJSEACEpCABLqfwPBTOGr4n/hFrxNgtyC74gbb/d1pjJ579um48dor8mhz9O6EpVfI7/nz7NNPxR23/p3bmGe+BfIjp/MH/0hAAl1PgB247KrlJxEaocjsemAmMCfA0eecWJA/DOPPHB/8UH78Oj9x0alK7mEkV6cSkIAEJFAvAb+XgAQkIAEJSEACEpCABCQgAQlIoCkE2kqB3pQU6qkEqiDADvOH7v9P7nL6GcfGTLPMmt/z5+/XXNa3A51d3ByZjL1GAhKQgAQkUI4ACy84sYAj/8u9L7Vjx/lPjjkj/9mNWk8GKfXTZwlIQAISkEC7EzB+EpCABCQgAQlIQAISkIAEJCCBdiWgAr1xOaNPHUzgv489HG+//daAFGB/0s8Pyu3nW3DR2OBLW4f/JCABCUhAAkMR4MSCb+x6QJxx0Y2x/he2illnn7PvExZqLb38J4Ofwrjg6nvixLMvixVXWdOfCOgj5I0EJCABCUig7QkYQQlIQAISkIAEJCABCUhAAhLoYgIq0Ls4c4eXtN52/dR/H+sD8L8n/huPPHR/vPTiC3HAbjvEww/cmys1dt7twJhpltn63HkjAQlIQAISGIrAPPMtGN/b+/A476q74pq7n8/NxTc8GEeefF6ss9HmMfOssw/lhe8lIAEJSEACEpBAgwnonQQkIAEJSEACEpCABCQgAQkMRkAF+mB0fNc5BOqM6Yfm/XCfD+xEP+OXP4/ddvpy3HjtFTFq1KjY59CTYpkVJva58UYCEpCABCQgAQlIQAISkIAEJCCBFhAwSAlIQAISkIAEJCABCUhAAk0moAK9yYD1vjMIzDHnXMFxuym2V1xyfq4853ds9znsl/HJ1ddJr5py1VMJSEACEpCABCQgAQlIQAISkIAEup+AKZSABCQgAQlIQAISkIAE2p+ACvT2zyNjOAIE5h6/QCyw8P/1C2ne+ReKk353RXxqjfUjy7J+73zoR8AHCUhAAhKQgAQkIAEJSEACEpCABLqfgCmUgAQkIAEJSEACEpBATxBQgV5nNj/00EMx55xzVjSvvvpqnSH4+UgQGDP9DLHp1jvHVFN9IPi92j0OOiZO/v2VA5TqIxEXwxhpAoYnAQlIQAISkIAEJCABCUhAAhKQQPcTMIUSkIAEJCABCUhAAp1A4MUXX4yxY8dW1L2il3300UebmhQV6HXinWeeeeLxxx+vaKaZZpo6Q/DzkSIwcfV14vLbn4wzLrox1lz/i/2OdB+pOBiOBIZNwA8kIAEJSEACEpCABCQgAQlIQAIS6H4CplACEpCABCQgAQn0CIHpp58+nnvuuYq6V/Syc801V1NpqEBvKl49l4AEJCCBwQj4TgISkIAEJCABCUhAAhKQgAQkIIHuJ2AKJSABCUhAAhKQQCcRUIHeSbllXCUgAQlIoJ0IGBcJSEACEpCABCQgAQlIQAISkIAEup+AKZSABCQgAQlIoMcIqEDvsQw3uRKQgAQkIIHJBPwrAQlIQAISkIAEJCABCUhAAhKQQPcTMIUSkIAEJCABCQyXgAr04RLTvQQkIAEJSEACrSdgDCQgAQlIQAISkIAEJCABCUhAAhLofgKmUAISkIAEJNACAir+vcsfAAAQAElEQVTQWwDdICUgAQlIQAIS6G0Cpl4CEpCABCQgAQlIQAISkIAEJCCB7idgCiUgAQlIoDMJqEDvzHwz1hKQgAQkIAEJSKBVBAxXAhKQgAQkIAEJSEACEpCABCQgge4nYAolIAEJ9CwBFeg9m/WDJ/ydd96OePcdjQyUAWVAGVAGlAFloMtkwP6NfTxlQBlQBpQBZUAZUAaUAWVAGVAGlAFloPtlwDw2j6uXgXffmeR2cLWZb3uMgAr0HsvwapP7+C03xAlrL62RgTKgDCgDyoAyoAwoA+0kA8ZFeVQGlAFlQBlQBpQBZUAZUAaUAWVAGVAGul8GzOMRzeNTNlqxWvWZ7nqEgAr0HslokykBCUhAAhKQgAQkIIFWEzB8CUhAAhKQgAQkIAEJSEACEpCABLqfQKel8N1Oi7DxbToBFehNR9y5AWy2z76hkYEyoAwoA8qAMqAMKAPKgDKQy4B9Y8cHyoAyoAwoA8qAMqAMKAPKgDKgDCgDykAXysAXdtu9qMzzXgKhAl0hKEvg/1ZaKSZ+8YsaGSgDyoAyoAwoA8qAMqAMKANdIQP27R3fKAPKgDKgDCgDyoAyoAwoA8qAMqAMKAOVZKCssqwjLY10IwioQG8ExS7049F//zs0MlAGlAFlQBlQBpQBZUAZUAaUgbaQAccnjs+UAWVAGVAGlAFlQBlQBpQBZUAZUAaaKANdqOrrzCS1SaxVoLdJRrRbNJ574onYc63PamSgDCgDyoAyoAwoA8qAMqAMKAPKQJ0y4NjKsaUyoAwoA8qAMqAMKAPKgDKgDCgD7SsD+224Qbup6YxPiwnUqkBvcbQNXgISkIAEJCABCUhAAhKQgAQkIIERIGAQEpCABCQgAQlIQAISkIAEuprAu12dOhNXC4EeVaDXgspvJCABCUhAAhKQgAQkIAEJSEACEugsAsZWAhKQgAQkIAEJSEACEpCABCQwPAIq0IfHqz1cGwsJSEACEpCABCQgAQlIQAISkIAEup+AKZSABCQgAQlIQAISkIAEJCCBESegAn3EkRugBCQgAQlIQAISkIAEJCABCUhAAhLofgKmUAISkIAEJCABCUhAAhKQQCcSUIHeiblmnFtJwLAlIAEJSEACEpCABCQgAQlIQAIS6H4CplACEpCABCQgAQlIQAIS6FECKtB7NONNdq8SMN0SkIAEJCABCUhAAhKQgAQkIAEJdD8BUygBCUhAAhKQgAQkIAEJ1EpABXqt5PxOAhIYeQKGKAEJSEACEpCABCQgAQlIQAISkED3EzCFEpCABCQgAQlIQAISaCEBFegthG/QEpBAbxEwtRKQgAQkIAEJSEACEpCABCQgAQl0PwFTKAEJSEACEpCABCTQ2QRUoHd2/jU19uvsuGNoZKAMKAPvyYD1gXWiMqAMKAPKgDKgDCgDyoAyoAwoA8qAMtD9MmAem8fKgDKgDCgDPScDa2y9dVP1bXreeQRUoHdeno1IjP9vpZVi/W/urJGBMqAMdIkMWJ9ZpysDyoAyoAwoA8qAMqAMKAPKgDKgDCgD3S8D5rF5rAwoA8qAMlCbDIyI8s1AOoaACvSOySojKgEJSEACPUvAhEtAAhKQgAQkIAEJSEACEpCABCTQ/QRMoQQkIAEJSEACbUFABXpbZIORkIAEJCABCXQvAVMmAQlIQAISkIAEJCABCUhAAhKQQPcTMIUSkIAEJCCBbiGgAr1bctJ0SEACEpCABCTQDAL6KQEJSEACEpCABCQgAQlIQAISkED3EzCFEpCABCQggT4CKtD7UHgjAQlIQAISkIAEuo2A6ZGABCQgAQlIQAISkIAEJCABCUig+wmYQglIQAISaCQBFeiNpKlfEpCABCQgAQlIQAKNI6BPEpCABCQgAQlIQAISkIAEJCABCXQ/AVMoAQlIoM0IqEBvswwxOhKQgAQkIAEJSEAC3UHAVEhAAhKQgAQkIAEJSEACEpCABCTQ/QRMoQQk0H0EVKB3X56aIglIQAISkIAEJCABCdRLwO8lIAEJSEACEpCABCQgAQlIQAIS6H4CplACEihDQAV6GShaSUACEpCABCQgAQlIQAKdTMC4S0ACEpCABCQgAQlIQAISkIAEJND9BEyhBJpDQAV6c7jqqwQkIAEJSEACEpCABCQggdoI+JUEJCABCUhAAhKQgAQkIAEJSEAC3U/AFLYtARXodWTNO++8E08++WSMHTu2onn11VfjzTffrCMUP5WABCQgAQlIQAISkIAEJNA5BIypBCQgAQlIQAISkIAEJCABCUhAAt1PoFkpfP3112PMmDEVda8zzDBDPPXUU80KPvdXBXqOobY/o0aNiumnnz6ee+65igY3U045ZW0B+JUEJCABCUhAAhKQgAQkIAEJjCQBw5KABCQgAQlIQAISkIAEJCABCUighQQ+8IEPxEsvvVRR9/rCCy/EzDPPXG8MB/1eBfqgeIZ+Oc000wzqiEwe1IEvJSABCUhAAhKQgAQkIAEJSEACDSGgJxKQgAQkIAEJSEACEpCABCQgge4nMHr06KYmsv0V6E1Nvp5LQAISkIAEJCABCUhAAhKQgAQk0BYEjIQEJCABCUhAAhKQgAQkIAEJSKANCKhAb3Im6L0EJCABCUhAAhKQgAQkIAEJSEAC3U/AFEpAAhKQgAQkIAEJSEACEpBAdxBQgd4d+disVOivBCQgAQlIQAISkIAEJCABCUhAAt1PwBRKQAISkIAEJCABCUhAAhKQwHsEVKC/B8JLNxIwTRKQgAQkIAEJSEACEpCABCQgAQl0PwFTKAEJSEACEpCABCQgAQlIoHEEVKA3jqU+SaCxBPRNAhKQgAQkIAEJSEACEpCABCQgge4nYAolIAEJSEACEpCABCQggbYioAK9rbLDyEigewiYEglIQAISkIAEJCABCUhAAhKQgAS6n4AplIAEJCABCUhAAhKQQLcRUIHebTlqeiQggUYQ0A8JSEACEpCABCQgAQlIQAISkIAEup+AKZSABCQgAQlIQAISkMAAAirQByDRQgISkECnEzD+EpCABCQgAQlIQAISkIAEJCABCXQ/AVMoAQlIQAISkIAEJNAMAirQm0FVPyUgAQlIoHYCfikBCUhAAhKQgAQkIAEJSEACEpBA9xMwhRKQgAQkIAEJSKBNCahAb9OMMVoSkIAEJNCZBIy1BCQgAQlIQAISkIAEJCABCUhAAt1PwBRKQAISkIAEJNC9BFSgd2/emjIJSEACEpDAcAnoXgISkIAEJCABCUhAAhKQgAQkIIHuJ2AKJSABCUhAAhIYhIAK9EHg+EoCEpCABCQggU4iYFwlIAEJSEACEpCABCQgAQlIQAIS6H4CplACEpCABCTQXAIq0JvLV98lIAEJSEACEpBAdQR0JQEJSEACEpCABCQgAQlIQAISkED3EzCFEpCABCTQ9gRUoLd9FhlBCUhAAhKQgAQk0P4EjKEEJCABCUhAAhKQgAQkIAEJSEAC3U/AFEpAAhLoBQIq0Hshl02jBCQgAQlIQAISkMBgBHwnAQlIQAISkIAEJCABCUhAAhKQQPcTMIUSkIAEqiKgAr0qTDqSgAQkIAEJSEACEpBAuxIwXhKQgAQkIAEJSEACEpCABCQgAQl0PwFTKAEJjBQBFegjRdpwJCABCUhAAhKQgAQkIIGBBLSRgAQkIAEJSEACEpCABCQgAQlIoPsJmEIJdBABFegdlFlGVQISkIAEJCABCUhAAhJoLwLGRgISkIAEJCABCUhAAhKQgAQkIIHuJ2AKe4uACvTeym9TKwEJSEACEpCABCQgAQlIIBHwKgEJSEACEpCABCQgAQlIQAISkED3EzCFwySgAn2YwHQuAQlIQAISkIAEJCABCUhAAu1AwDhIQAISkIAEJCABCUhAAhKQgAQk0P0ERj6FKtBHnrkhSkACEpCABCQgAQlIQAISkECvEzD9EpCABCQgAQlIQAISkIAEJCABCbQlgYYq0NsyhUZKAhKQgAQkIAEJSEACEpCABCQggYYS0DMJSEACEpCABCQgAQlIQAISkEC3ElCB/n7OeicBCUhAAhKQgAQkIAEJSEACEpBA9xMwhRKQgAQkIAEJSEACEpCABCQggYoEVKBXRNNpL4yvBCQgAQlIQAISkIAEJCABCUhAAt1PwBRKQAISkIAEJCABCUhAAhKQQDMJqEBvJl39rp6ALiUgAQlIQAISkIAEJCABCUhAAhLofgKmUAISkIAEJCABCUhAAhKQQJsTUIHe5hlk9DqDgLGUgAQkIAEJSEACEpCABCQgAQlIoPsJmEIJSEACEpCABCQgAQlIoPsJqEDv/jw2hRIYioDvJSABCUhAAhKQgAQkIAEJSEACEuh+AqZQAhKQgAQkIAEJSEACEqiCgAr0KiDpRAISaGcCxk0CEpCABCQgAQlIQAISkIAEJCCB7idgCiUgAQlIQAISkIAEJDAyBFSgjwxnQ5GABCRQnoC2EpCABCQgAQlIQAISkIAEJCABCXQ/AVMoAQlIQAISkIAEJNAxBFSgd0xWGVEJSEAC7UfAGElAAhKQgAQkIAEJSEACEpCABCTQ/QRMoQQkIAEJSEACEuglAirQeym3TasEJCABCRQJeC8BCUhAAhKQgAQkIAEJSEACEpBA9xMwhRKQgAQkIAEJSGBYBFSgDwvXQMdvv/32QMuCzeuvv1548lYCEpCABCTQKAL6IwEJSEACEpCABCQgAQlIQAISkED3EzCFEpCABCQgAQmUEnjllVdKrRr6rAK9TpwvvPBCfOADH4ipp566rHnnnXcCU2cwfi4BCUhAAhLoLgKmRgISkIAEJCABCUhAAhKQgAQkIIHuJ2AKJSABCUhAAsMkwOblKaaYoqzeFX0setnXXnst3n333WjWPxXodZKdaaaZgl3mZFQ5M80008SoUWKuE7OfS0ACEpCABNqKgJGRgAQkIAEJSEACEpCABCQgAQlIoPsJmEIJSEACEhh5AqNHj4633noryuldsUMvO/PMM0eWZU2LnJrdpqHVYwlIQAISkIAEJNCWBIyUBCQgAQlIQAISkIAEJCABCUhAAt1PwBRKQAISkECNBFSg1wjOzyQgAQlIQAISkIAEWkHAMCUgAQlIQAISkIAEJCABCUhAAhLofgKmUAISkEDrCKhAbx17Q5aABCQgAQlIQAIS6DUCplcCEpCABCQgAQlIQAISkIAEJCCB7idgCiUggY4moAK9o7PPyEtAAhKQgAQkIAEJSGDkCBiSBCQgAQlIQAISkIAEJCABCUhAAt1PwBRKoNcJqEDvdQkw/RKQgAQkIAEJSEACEugNAqZSAhKQgAQkIAEJSEACEpCABCQgge4nYAolUDcBFeh1I9QDCUhAAhKQgAQkIAEJSEACzSag/xJoPYG33347nnzyyXj66afj3XffbX2EjIEEJCABCUhAAhKQgAQkIIGuI2CC2oGACvR2yIUOjwOTJ0cccUQst9xyMfvss8eoUaPigx/8YKyxvpLU3QAAEABJREFUxhpx/vnnx5tvvlkxhbfccku88MILFd+3+gWTQ8svv3xkWdYws9Zaa8Vrr71WMWnPP/98nHXWWbH11lvnk1MVHTbgBRNgt99+e+yzzz75JFgDvNSLLiaA3F500UWx7bbbBnLTSUn905/+lNdP1FHcDxX34aT1iSeeiJ/+9Kdx7rnnDuVt171vxzqEOnTTTTeN0aNHB1eeuw58FyUoydCBBx4Yzz33XBelrPqkIKPIai/LLAzs+1QvMx3r0oi3DQHq3nPOOSeOPPLIePnll4eMF4ryK6+8MhgXTTHFFDHHHHPErLPOGtx/7Wtfi2eeeSb3gz4WfS0M97llD/+B2wMPPBAHH3xwcO1hFEMmfTh97yE904EEJCCBNiZAffeHP/whTjnllDaOZe1Ro19/8sknt838CG3xL37xi5h22mlj0UUXjVtvvbX2xPmlBCQgAQlUT6BLXKpA75KMbEUyUIwzGTDnnHPG6aefnk8MPPTQQ/H6668HEyYzzTRTrLvuunkH5e9///uAKNKJefjhh2OppZaKv/71rwPet4MFkz/XXnttvPLKK7HnnnsOiNKECRPitNNOyxXeTPyWmp///Oex+eab5wsK0sdMUr311lvpMVem33DDDfH9738/xo8fH2PHjo3Pf/7zcckllwSTW30OG3Tz0ksvBUrQL3zhCzHNNNPEEkssESeeeGK88cYbDQpBb7qFAGX8n//8ZxxwwAGx2GKL5fKy5ppr5uW9k+Tl2WefzcvvU089FZhddtkl/ve///XLpuGklXJ555135mV2rrnminHjxgV+3n333f387NaHdq9DLrjggvj1r38d77zzTn4944wzujUrOjZdTKqwwK7YDjGp8eqrr3ZsmuqJeC/KLBOH9n3qkRq/bQWBbgmTPs+OO+4YG220UXzzm9+MY489dtCk4f673/1urL/++vmCQdrXq666Kh+zcH/cccfFFltsEY8//viQ/a1BA+qSl9Rvl156aXz961+PmWeeOeabb77Ya6+9XKxckr/IVTeMM0qS5aMEJCCBAQSY+3zggQfy9naZZZbJ51VoU9t1HnRAAoawYH7k3nvvjZ/85CexyCKL5P2DrbbaKtplfuT+++/PNw0x1rzrrrti9913z+dhh0iWryUgAQlIoMcJpOSPSjdeJTAcAgx4d9hhh/je974XW265ZVx99dWx0korxdRTTx1TTjllLLnkkrni4qCDDgo6UquvvnowUVoMI8uyXMGOooMJhqOOOqptjwFE0bzzzjvH0ksvXUxCrjRj1xgTUOXM9ttvn68qZWEBSsh+H7/3QAfuxhtvjOmnnz5Q9L1n3ZQLEzooKTAo+8nHpgSkp11B4NFHH80Xt4wZMyZefPHFrkhTpUQMJ63svj/ssMPimmuuiccee6ySl11pbx3Sldk6ool67rnn4sc//nGccMIJ+eIz26ERxd82gdn3aZusMCK9QyBPKXXuN77xjTjmmGPyZ04OW3zxxfP7Sn/Ypc5JO9ttt12ssMIK+alcK664YvzsZz/r++Rf//pX1/cV+xI7yA39JLgcf/zxceqppwZt3iDOe/rVcPrePQ3KxEtAAh1P4Lbbbss3JdD2MvfX8QkqSQDzI8x3sqCuXZTmJVH0UQISkIAEJFAzgVE1f9nSDw281QTYOcbkN7ulmYRBaV4apyzLgiP9Pv7xj+eTByicijuvk3tWYLKLe++9945DDz20bZXopHWhhRZK0c6vM8wwQ34d6g/HsqJMh0Wp2wkTJgTvfvjDH8b+++9f+rqhzyxwYAcJx0Vx7H5DPdezriMwfvz42GmnnYIyzu6kLMs6Mo2chsHPFMw222yBOeSQQ/JjR4uJGU5aKbMMDs8777wBi2qKfnbjfSfUIWuvvXZ86Utfyn9OhCu7nLsxLzo1TbSlHNduO/R+DvaizFKP2vd5Xwa8k8BIEChVnn/4wx+O6667LlZbbbWKwbNrizEcDpZbbjkufWaTTTaJ3XbbLeaff/58h/WCCy6Y7/Cir4Up19/q+3jYN53xQeonnXnmmfG73/0uX2zQGTEf+VgOp+898rEzRAlIQAKNI0C/l/kDFuB/5jOfaZzHbeIT6eNUSzZWsQO9TaLVFw1OguFEUTZGET/mXWmv+xx4IwEJSEACEhiEgAr0QeA07VWHe4wSnF3jHEPETnMGv5WSNOOMM8anP/3p/PXll18e7MTOH0r+LLvssvlOCDo1TDaUvG6LxyzL8t/5qzUysPjc5z436OfzzjvvoO8b+XIkw2pkvPWrNQSYCGXA0ZrQ6w+Vo+effPLJwHA/mI/VppWFQ9NNN91gXnX1u3atQ6hr+VkRjpLjynNXZ0QHJ65dZWikkSKjyGqvyuxIysFIhjXScmR4EhiMAMrzXXfdNR9v0X/hlDB2jLGQebDv/vznPwc7hcu5wR8moTltbLPNNsuVxfSx6GthuC/3Xa/Y9etP9kqia0ynrGoE52cS6CECtGP77rtv/nMhnZps5lPmmGOOTo3+kPFmbqQd05dlWXCKDj/NyU/xofAfMjE6kIAEJCABCbxHQAX6eyC8VE/g6aefjltuuSX/gMleFOn5Q4U/aZf2Cy+8MOgR5RtssEFss802sfXWWw847r2C1x1nvdRSS8VUU03VcfE2whKQgAQkIAEJSEACEpBA5xFA6YDynGPYUZjfcccd+c9wMZE/WGoY41155ZWDOfFdjxAwmRKQgARaTYAdzphWx8PwJSABCUhAAhLoLQIq0HsrvxuS2nfeeSfYhY5nTMA8+OCD3FY0KM55yRE50047LbdlTZZlufKcl7vssks8//zz3DbatNS/j33sY/GjH/0oYNHSiBi4BCQgAQlIQAISkIAEJNDVBJLyHKUDJ4hde+21UfqTVJUAvPzyyxV3n1f6RnsJtCEBoyQBCXQ4gRtuuCFYCMbCrg5PitGXgAQkIAEJSKDDCKhA77AMa4fojhkzJuaZZ548Ks8991zwW+iVOrIowf/yl7/kbtnxMH78+Py+0h9+j2aNNdaIq666Ko4++uio5G+l79vdfuaZZ45PfOITdRwF3+4pNH4SkIAEJCABCUhAAhKQQLsQ+O53v5sfefvFL34xRo8eXXW0XnvttXjqqaeqdq9DCUigGQT0UwK9TYANO1/+8pfjuUlzj71NwtRLQAISkIAEJNAKAirQW0G9w8Ocfvrpg98sT8n42c9+Fr/97W/LKrsvuuii/Dj2UaNGxfbbbx9DHRU4xRRTBJM7+H3ooYfGv/71L2413ULAdEigDQjw21f8/EQbRMUoNJkA+Ux+NzkYvZdAwwgosw1DqUcSkMAkAlNOOWXwe6S1nH7F7vWXXnppki+1/af9pU6r7Wu/koAEuoKAiZBAHQT++9//xmabbRb33HNPHb74qQT6E+CEnW7brNU/hT5JQAISkEAjCahAbyTNHvJrp512ivnnnz9PMUe6f+lLX4pTTjmlnxL91ltvDXY80DH5yU9+Euuss07ufqg/iy22WIwbNy7+97//xRlnnNHPz6G+bdf3p59+emyxxRYNj95//vOf2HnnnWPeeeeNLMtyw2+sr7TSSnHhhRfGcCetyKt//OMf8YUvfCHYLZ9lWcw111zxne98J9+5ElX+o0N61llnBacJzD777Hm8OLlgwoQJ+RH2Dz/88JA+MWl39dVXx5prrhl//OMfc/f8HADpJY38HMAvfvGLAfLx6quvxtlnnx0wIMwsm8yl2nTA4IEHHsjTvOOOO+bhwvE3v/lN4EeWZbHpppvW9RMDpOPYY48NeJCWLJscxwUWWCAoK7zPA67zz9NPPx2Ew4KXm266KfcNu+9///v5ZGqWZflOpBVXXLEmeYlB/sGRMLfaaqtIMpBlWZAna6+9dlx//fUD8q7oXcr/TTbZJLbddtu+V4888khss802kbiRJyziId/7HJW5YRfVH/7wh1h++eVj8cUXjyeffLKMq8ZYIS/nnHNOfPzjH8/5ZlkWM800U8C9mrxtdLkeLFXEBxmZMKlsJqZZlkWtski+11uH4Ec9ssP3qQzPOuusgXyUMvjTn/4UyGGWTS57Wfb+9aMf/Wjwnm9gA4ssK/8eN+UMcfj3v/+d5zknqyS2H/zgB2OjjTaK888/P5Dxct82245wCb9YR1Iuqa//+te/DrvdGCy+cKCs06ZQD7CYjvbq61//etx9992DfVr2HfUXdeSCCy7YV7aoA3bYYYe4//77y36TLIkLeUIbst566wVKIeyQV2Qh5REsqLeqjV8j2jviMZTMpnRwpdz+9Kc/zdsQTgSac845A/PhD38472ul9OF2JAx13jXXXJOXqdR3gOdyyy2Xt8fIXCPjQfopm+1Ub5E++jbIJ/FCjrIsy9u/VVddNU477bRAVnA3mCnKwnD7IPW2HeRTLf2uculhl9i3vvWtPP1Z9n79WdoXvnXSWGH99dfP+wZZ9r67iRMn5mW0nN/YccIVTKmv6e9ih6EeoI+Q+I8fPz6OOuqoAfUtdQk/qZTqd+SVeoA6An8aZWBKfUv9mupArrQD9JOJx1Bh1SMTtZQV2t/pppsu77vTZj300EN9UVx33XVz+yybnFe4w32fg0k3tfS3EifaJfIiyyb3F+EGP95P8nrQ/3Ai/+hrjWS7S1tBm0bbRhtH/tLm0fYRp0EjXeYl9QjjLvzLssmckVPktRp5KeNlRSu4wrce7vjx5z//OR87Ii9ZluV9dPLgm9/8Zr4YvhYOpZHmJwgo71k2mUmWZfn49/HHH+9zmuodyn2Wve+unJymj4g/9V6jxhv4y5iknrEofpCuH/7whwFH2nnkCr48U1cVx0a4HwmTZJN+V5ZN5otsEk/eDRUH5KARZRR/6DMRLv0MWBE2fRH6sYxrOWkDwz35y/tk+J6+H+U09VlYZPSDH/ygbDudviteac+pw6mjyJssm1xn0f5TVqvhUfRvsHvi2y3ppU0aTv/1kksuiYUXXjg/nTIxok2iLGTZZBmkrkwykNykdmj11VePW265JbdmDoFyjlyQZ2msl7987w/xa0T/kjqAn0xBPumP0K4hG6SdMN4LruoL8lRv/7LqwCY5ROZo2xkPwSrLJrMmLdQ/tbRvlBn6Y0sssUQ+hoMJbQ99OMrupGAH/d+IONF3PPnkk/N6lXQQp2KgyAT2WTY5vVn2/pX2h/e4R0ao+7Ks/HvcVDKEWW/dgSyvsMIKeX+MPg/tWKXwtJeABCQggcYQGNUYb/Sl1wgwMD344IODXQ2kHSU6Hawtt9wy6BQyeFlttdVyJSMD829/+9t5A4/boQwDmP/7v//Lnf3qV7+Kxx57LL/v1D909i699NKGRp+OF7xRIjBZePnll+fKyLfeeivOPPPMuPnmm/OJ7O22227ApGGliNDRZ8JmySWXzP149tlnc6fw5zQABiennnpqHk7+oswf0kr4DGr4jSoG9wyU33jjjWDwyoB7n332yX8CgEUYyErRGzrPt99+ezARNVFQuPsAABAASURBVOOMMwaDXk4xwJ6ju+goHnHEEXmaiC8D57vuuqvPC+SOSQYmaL/2ta8FaSBOTzzxRDCAIR0f+chH8lMR+j567wY3DGpgOt988wVuX3zxxTwsJrFZJAILnDMgYnEH98MxxAWGKPX233//oAyRDuzhlJSsSy+9dDz44IPD8brPLbJBpxxFMeHA8p///Cfvc6UgC18YgCUFMmWXvGGwsPXWW1c9cZB7WOEPK8Up/6SDUyfuvPPOXG6Qg3333TePB/lB+kl78obO/+9+97v4zGc+E1NPPXWe/5xu8frrr+ffw47487MRuOU78uQb3/hGMEmX7LDHIDcodRgsM3nGJP11110XlBPeN8M888wz8dnPfjZXkvJbbfAlHCb14L7BBhvk9SJ2pYa8a3S5Lg0jPcMdnshIo2QRWa63DqlVdkgXE8ulZRjuvCs1LMy54IILcuUeE97pPXJJfcp77KhHqNNYsDP33HPndQcTMek9bkoNadhwww3zwTl1HG0gecuisL333juXf5QQiy66aFBnkRelfjTr+e9//3sQLvUzp70wiUD+zzLLLHHxxRfHpz/96XwSnAmGeuOQOFAXzTDDDHHttdcGdQBXlL0sZNlvv/2qCoayfOSRRwZ5QBr22muvYGEaijKOF+YnX5jIYGKmlCeTTgcccEB86EMfyifhaENIH/UKk6W0eUzepPqDvIIL8aOMlPqXIow9slFre4c/w5FZ3GNQOLLQkAVByDATiUwc3nbbbblCHTvSh9uRMEzqMgGGPNFGH3fccfHzn/88FlpooXyh1MYbbxzYM9lTb3xgTp60W72FzNAO0U+iPWVBKeWdPsQxxxwTtO/snkJWWIyHPJeyqKcPQvi1th3EpZ5+V2k60vPYsWPjsMMOC+SVye9kX3plQvncc8/NjwmnXix9X3ymX0RZRoGE/zDFf9pZ2h8W7aY+Akz4lm/ob7LIhjJOeqlLqIPoj9577704y/t61AMsfKOOzy3r/EPfh4nizTffPL761a/Go48+mo+RDjnkkLwd+PznPx/Icpa9PwGbZVm+wIqg65GJesoKcb7vvvvy8Rd8kVvig0G26Xclgzvcw7WW/hbxpB2kXaKvzRG97DJM9TbKE+SCMOBJHMqZ1N4gGyPV7iJjlHvCJL7nnXde0K4QT9pSDPlOu1cuzqV2SYYpL9QdBx10UL7whsUWyCnyyhgHOS39drjPjeJ+xRVX5H0K6nn6/cgL5QwGK6+8clDWGNPTJ6q3DYDljTfeGPTLKqWXeoF6h7ExY4VK7ohjI8cbxXCQZ/KplrFo8oc8pk9DOhhL0M4zboM3JwHyHllL7pt9pUxRjzL/Q5+LcSZ1APmNco1+JGmmTwfbcvGpt4wis/zEH+NalN6M1QmX/g/hpb4I5Y52mHYBwz2yyMJm3DFOY1xI348+HHMF2MOXMve5z31u0MVbxIPvqBfpSw93roOwqjGE06D0RrukF3kZbv+VMQRzPbQ9iRvs8QsZxDAuQA6RPfKb9KZxP8/IAXUHClDmFXhGjnfZZZd8ww7+wrtR/UvKKWMIxijUW/RDaC9IA/UDi13/9re/EeyQhu9oZ+rpXw4ZSIkDyir1+XDncUq86fdIHtHOU4/Q5yQPyC84MAfF3A/h9vuo8MC7WuNEOIzF+Z42YquttsoXcZPnhSDyW8b3jKNYANXo+QHCa0TdgT977LFHPq4m0swvpfqNZ40EJCABCTSHwKjmeKuvvUAARRBKxKREJ810PGebbbagg8KqXiYU6BRlWcbrqgwdXpScOKbDyepH7jvVoCxgcrBR8acTyK4eJvhRSDNRzSAS/1lRy8CPASDPxx9/fK4M534ww8QXEzMoFpjQY1cP/jKxmb4jXDqcTDgku+IVPw488MBc+cIiiL/85S+BjNBRRUYYqMKBVdl8h6KDQW5xQoUw2S2KAouJJNxhnnvuuXwX8sc+9rH8CC/sMMQpTUwxwcAEDZPWu+++ezAJR7i4Y1CFgoVJLvxikg7FBe8wrKLdbbfdgoUOTFJhh6GDykQMnX46qijRsMcwoOE6HAM7GBLvww8/PC8n5Bl+oLj/5S9/GfBi8pCJYNzxbjiGMsmiAwaUxe+wZ1ciu9GZVGISn4FdYoTbk08+OWBHunmuxaC4gT35zwIIZBHlHH4R1s477xws7OAZpgycuMeg2EbJRbyQIewwTBLtvffewUQFyhnqFRQSuOM9hjQRJvfJ8BMQTOIhZ5SVZN+sK5MwlB8mYZB18qA0nsQR9qVxIK8bXa5Lwyg+N1oWKf/11iH1yA47DZhQZIKBibJiWge7p4768Y9/3OeExUfITbKgLLCzimcmDJdZZhluKxp2gBL+73//+6A+pN6hbCP7lANklkkclDzUNbSV1HuEU9HTBr2AzyqrrJLXjSiI+FkVJuap+4gTEyUExaQBZbhYB2M/HEPbza7bxIGV+kwY8TMtTHzRDlAOCHcofykbrK5HaY6CgnzgFBD6GNQH1HfsYmAyhokZwkp+Ut/Dl/QyWZbskRfST3vDZDxxoQ6ZOHFicpIr1KivaRf6LN+7Qd7JX+JAXUW5Rpaov8nrato74kCeDEdmabeYrOVK20R9+V6U8p2+J510Un76SrJr9pUJTOSdvKXcIEvIFGxpN2mTiQP5zC4t6kaeazXtWG8xGc8JS8gSi9AoP+Q/i8DYqYNc0D9hkQFKCBbjIc/IdeJQTx8Ef+ppOygfxP3yyy+PYpmn7CBrg/W7UvwHu1LeUUoP5oZ3LLZjoQX3lQzljolx5Ks4sYnsIYfUqfS56RdiWAiZ3LF7lbKMIp1FkJRZ0ku9QZ+L/CFc0s1kJP0Rnms11IH0uZj4hy8KRuoGZAKFOmU1y94fG9EW0D5gWChUj0wQ53rKCvGkXmORAf1n6m38xLDQE/tkcId78mC4/S3aPfKIPhp1CPU09TF1InUb+UyfinDhSFkqjhmwx7Si3aW/Ql1H3pJn9Pko97BIbT2KEhSf1cgS/iEX5BvjXto22hfaOhQ+jA9IK0fis6CAhQU812IawR0/UAR86lOfCtoj4oOiKMkL+UlbTLwpg/QFKN+0GbXEOX3DmGmttdZKjxWvWZYFY9jiuK3omDxBxsg7ZDi9q3W8kb6nrqfdq2UsmvxAnokX8ynURSxATO/oT9IHog+Z7Jp9pS4j78hPxpIoAXmmDkDmWbhKH4x4MK5j0QT3RUOaqKORA/pOtfSNqf/Hjh2bnxDHruLkP/YsqGTMiT2LDqjXWYBEnYE7nhmjUK8is5RR4oQc0FagMMNv3CLLPHNfagiL+FM2kRvaEcLgW8o+PKgL6OPybbm5DuyrMYSFvyxMJl3pG+w7Mb3UE/QpuA6n/zpmzJj8hCXannjvH20SdQ0yiOGePjXlhbb1yiuvDPL8PeeBTBA27TCL3JM938CTZ+pe+vz0qeqZo8Ef2nPSedlll+Wn5iFvRflgro7FZ4Q7mGlE/3Iw/8u9oy1iDIhsU6aGM49Tzj/saL/pD1FPsOiFMRdtPf0+3mMIj3AJn+eiwY53uKklTixEof/NOKRSm1AMj3vKdSPnB5CzRtUd9AOYCyOeyTDnlO69SkACEpBAcwioQG8O157xlc4Fg6FiZ4SBCJ1WOoqYWmCwwjl9x4RXum+3KxMndMjLGSYSUNh+4hOfCCbkGhV3jhxj4DSYf0xWpk4pnVQGCIO5Z1cMu5SZfGRChAkbJq5QJqXJD74nX1FQMOjkuWiYNEb5mmVZvuOACbDie+6RByaOWVTBM5PqKFOZxOSZFbZMGuEXg0bsMHQ4v/KVr+Q/E8DAnfcMUgmPnQ1M5HCc+2CcGVwxEYx/hMtEHfcYeDG5yqCHFbDYYVDMwIaONwNvvmHihkEAO59wU63huGDkBYaVvoEZK7N5zyChHGfeDWaQO9KCybLJk7N0tEkb6WZiADcM/mHNrsXiRAwci0rtwcIq945V18S93DvssiwLJi+4p65gIoh7DDKLgp9JSQax2GGYPEQ+WbHMKRdMejGJxIKPlF/IALLLlW8wrP4mrZRPZAW7Zhp21LNLil1YyAiDeuKJgmLjjTfuCxr5LV2A0Yxy3RdgyU0zZJFyQh7VU4fUIzsoq5h8RnaYQEmLsEqSPuAxy7J8N1NSniCTTOwwgYJjlID4x2kXyCZ2lQwDfOoplDHIJXVllk0ug8VvWIHPrlQmlakPOD2h2e0cdQkTsnAhXtTFxTgxUcskXbJDsZuOqUt21V6pz1mkhDwwWYVyL8sGcqD/QP0/lL+UayZoUXyhaCl1z6QsfiV73KaJBdoR2g/qGXYtJTdMojIBx44G8oL6kLoChUdpm0fdwURY+pYrZRj7LKu9vatFZmmDqMfZtYpikrgUDSe30HZn2UDeRXeNuIcJdSsT0EwWs/ix6C/1OTLFhBn2yANsua/FtGO9RT1BGpkkpb/HCSulZYu0jhs3LmhbyTeekVHaaO4x9fRB6m07au13Ee+RNvRVUMzR/0r9OeJAGac/QD+HU0TIAwz1EMpG3FDX0n9DXskv6nzKYJZN/skSJomTrLKYAMUn39ViCOMHP/hB/nut5D3KplJ/iFdRKYL80CfDoPirRyaaUVZK41/6XEt/i/z63ve+F6Sd8sCu0qK/1NFpvIA9k/AoKLlPphXtLv1M6jzGCCyqY5IdeUtxSlf6DNQJ6bnSFf84lYB2Ze+99853dBfdZlkWKFyQCeyRZZQQ5DPPwzWN4E4+0N8hLqSRtJbGI8uyYBc2fQ7e0S6jBKl3IRV+1Wton4gzfcZGjDeID/lIPV/rWBQ/MIyh2FXNXAhtOnZFgz11YNGuWfeUL/pGtN/IOX26LOvfv6D8MvZJcUCBzAkK6Rk/kJV6+8bUB9QzjKuQKZ4Jg/EHP/VGW7jXXnsFfLJs8s+n0DbQv8Ud76n3WYyNAp+2hAUZlF3aBvriuMNQFqnHuS8a7Ovt+xX9G+ye9HVTepvdf6UPSt7QltDXzLLJcsq4jjkcFjOQ78gn8zGMh6i7WAhBXYod9VmlPKlmjoZygmKYviH+UcdEiYfIG+FSbkpe9XvEj0b0L/t5WsVDPWPxSt6zwYr5P37uhIW2jLkYe7GIgDKZvqPuoy2kLk12XOuNE/NOzG3Ck/oMP4cyWda4+QHCamTdgawzfmYeAb+pE1m4xb1GAhKQgASaR0AFevPY9ozPrORk4irLJndUU8JRQrArhwnqZFftlY5AcsuuhlJlU3rX6ivKSHZ5lzOsgKWj2Og4MvGAQhR/WU3JJDb3RUOHKssm58cDDzww6FFkfMekISvGGXTynEyWTZ784Ei2ZMegnh3q6ZkrkyIomOjwLrXUUvlvP2NfzjBpwYQZYfKeVd4cRct9MqzULa645/guOoZZluU/BcA9uxjojDPAhAdxSN/TIU/36ZplWeCWZ+KJoo/7oiFuDKSSHRMXHO+FPXYcSUt8GXylATn21RhkuBhH8qX0uyzL8t+Eikn/2M3MpMCk25rkusU1AAAQAElEQVT+s1I7xZt0s7uyOMGRPEWZx87zlB8MNBlglps4SN8MdkVRl96zGpa8Sc/pyuAx3ZMP5RZ4FPOfCXEmlUsnV0lfcQKasBkEJ7+L13LKpuL7RtyjuGISnngV/SO9DBaTHZNIlN30zLUZ5Rp/y5laZHEoWUR+6qlDiCf5xxVTj+ygFBlO+aScMxlNGgibQS4TzNStKGCo08jbLMt4XdEwGcBiGxwwuVkqB9gnw05n6jGembBh1w6TjDw32lDfsZuCupswqV/LhcFEz7hJij7e8Q27NGupBzhGjnoyy7L85BDkHz9LTZZl+c81lNoXn9lBRN6wSG/99dfP6//ie+6p34pKFuSI3Se8K5riKRQc44i8FusZ3GbZ5DaPCR6eMSyioK3nHkM93sj2Dj+rlVl2JpI39KvKtSH4xSkDHAHMfTMNi/Ngw2IRJqLLhcUEYbHdoWzRtpVzO5RdO9ZbHAnJoj7iziKOYv8Bu6Jhsra4iIN+Fbuiim6oM4p+UDcN1QdpVNtBvVAsD0P1u4rxHul76hQmEFO4nNhTTkmNu+LkLP0AFCxwTt+mK+MOjkzmmfJVT/8d5TtKePyiXSkXHnbFegvlQlHpxLcY3A1XJppRVohLtQbOQ7lFblFC0/6xOIqFkeW++eQnPxnUI7xjbMPx1dwn04p2l0WmKEqJA5PxlB3uyxnKEe1XuXfJDqULyh0UNNTfyb54pS4oLiDjWGLGQUU31dw3gjv9bMZf9O/HTeozMA9QKewsy4J+FAtKcUNaGWNw3y6mWO/VM96AB/2DlK5ax6IswsUP+jLFk3OwSwbFf+mYKL1r5JV2HqUWZZDFD+X8ZrxZHOOwcJF+WXLbjDJKvUjdShjcM/Yqx4O6qNgHYQEAp1pk2cD+PDtbs2yyPfUxYwD8T4a8bXTfL/k91JU0dnp6R7L/yhgQZnBlHIPyNPUR6BdQJ1EXcSIQbhrRZqLwZgEUp0/Q32O3M36XM7TpjLnKvUt2je5fJn+HulLvJDeMxanX0nO6wjDdV5rHSe+5UuZo51mwwnMytB8o11kcmexY/FA6vmlknIpjwRRmpSvtLmPQVPYYw9QyP9CMuoPxPJxYgE99Rf+hUjq0l4AEJCCBxhBQgd4Yjj3rC51FOhastqRjVDqIZtDFDmyO9RsOJDq9WTZ5EFNO2TQcv5rpluNkmcwuZ5gUYnKUTmMj44DihWNCYcREIDuwB/OfiQ7yaTA3dGBLlefJfZZl+ZG/aWIRe3YnFifBUVakzi07wxlM466SYTCLAiO9R4HLrsX0XHplN29xMF76nolUJuIYKLMbpKj8KHWbngfbIZDcMNjiKM30XM+VwRIrjokrnV4UbIP5h0wNxmSwb0vf0fEvThCVvmfCqFh2OQIVxVWpu2qeSReDRiZQmNAg3YN9x6CVwe1gboh/cbBWdMukd3pm0hp5T88jfWUCuFI8GdikSVQG1wxKi/FrRrku+l+8J08aLYv11iHErxmyg78RMeSFiTMW9uCQsodCm52ZtD8HHHBAMIjmXSVDfcjAmvdM8KeTJHguZ5ATFG7pHbu5KHfpuZFXBtgs+smyLJBDFOnlDG1WsR1gQF46gThUvFgEgCIAd/y0CLtnuK/VsFOUXYdMvn/gAx+IcvHGjp29tIkpHL5L9+Wu1If4V+5dlmXBaQZMwKX3F198cSAXPDe7vSOMSoY6hncsdEKBUe44Y05bYXJ9sDYTP+ox5HNaSEcdjMKRfCg1LI4qyhRKSerpWsJut3qLdotFJkkuqEMGS1eWZUE7S3uGOxYl0ZfivpKppg/SrLZjqH5XpTi3wr50UrYYB+QzPeMOk56L19JFLBydWnw/nHsUZ9X0oSZMmNC3sJNyUU3/pRqZaEZZGU76q3HL6WUoMFB6FRXDpd9S57Ega8899wwUi/w0SHLTinaXco8CmDqYtp7+c4pPrVf6DoxJaDPxt7QeTc/FhVHEg37DcMNsBHcU9yjwCZsxKPLGfSUzfvz4YCFEes+pMtWUj+R+JK/Uz/TPyoVZrEvKlVfGd40YiyLzhE8bgcK2dMEt71i0xq5p7ptlGKuwixb/OZJ6sHymv0x7yGJNTslL/bGRKKNZlgWLa6LMP/KkqDCjX5Rlk+eXSp0zd5HijdKQ8WnRTSv7fsV4ZFnWkelNck0dN5L9V8bexXYjyvxDtusdF3M6VNoQwsIpxiVlgqrKivqd8tTM/mWliDRjLF7s65SGS/vAaVbJnnqPtj49c60jTnxel6FvX8/8AIE3q+5gjpL+E/Uc4WgkIAEJSKC5BFSgN5dvV/vOwIIjuVA0cKwXu7lQKDN4Kg5kmEhiIo7f0KoWSHEQw4QSEwvVftsu7rIsy48RY6IFpW6j4sXgjh3vDO6+/e1v902+Jf/JF3ZBNkr5ir8Methlxj2mOAlO556j07DHFCcYeC5nUEbR4UvvOEacCaL0XMuVXUZ0uplQKq5kxS/iyEkGGJ5bZVjpjDwzWVZUzhAffhuJ1dksuuB5JA2TRShcUpjseEAhkp6HcyVdHP3MpEnRz+QHCrmhlFvJbS9dR7pcj7QsDlaHpHxupexkWRYcCclkMPFBcc7kBUc9VlN/s4AIZQDf0n6hxOR+MMPuAxYe4IY6inqb+4GmPhsU4dSNhPHFL34xWGhUzlB3X3fddX2BUQeUU9D2OShzQx1LeLxixxJ1Pfe1GOLLDgy+ZYcDyvhy8caORTvFNo/8oK7l21oMigyOhk/fUi/TthKnVrZ3TEKlSTnkhbaOnxgopj3LsmCyEIVgin+jr//+97+D41DxlyMzyYNKhvYOdxh22KJ44L4W0071FuUjlRcmaKsp85QJFhCmtLNLmYnS9FzLdaTbjlri2InfDLfuK6aR8khdgR19IXb9cl9qmDhm4r7UvhHPI11WhhNnFtYwXuQb6rDUDvJczqAsZGcfR5hn2fvKL+r5kW532UlG3Us8mbwuKuewG66hTmSxOd9RH8CjUl3Kcei4S4axU7qv5too7igDUr1F+oeavEdpWTxtgXyjj1VNnDvNTSPGoiyKSvMo9EORM3aCM05MPKj3aefTczOuLJRIGyAoe4OFwTiS/iXHoLNAMbklr0e6jKaw67myaIG6O/lBfd7Kvl+KR7OuI5Hedum/VmJYb5vJQlsWB+B/NeNG3FUyrexftmIszmIgNl4kHqXzRK2IU4pLltU3P1Bf3TE5FrT19c6TTvbJvxKQgAQkUA8BFej10Ovhb9l9tOWWWwY7kLim3zhlZweDJyYVGfAlRAyU+f3VWia0GfCjLE5+ddqVo/1Yud3MeNM5Q3HB5ApHcqPAIC8aFWaWZcFq2uQfEz5pBy15WsuEOMciJ/9Y5Z78S3aNuKLwYHc7R2nxu0eN8LPRfqBQRgGCwoadm0xCNDqMavzjeHomZHBLeWtkfjDpw2riNddcM1jJ2647T0h7O5lml+vStDZTFrOsch1SGo/i80jKDgowdpunicssywJlV5a9P2FfjFvxnkl1lCZFu6HumRAonuzBwqQ0KT3Ut8N5zw5u3KPkY4cEclWNof4s1tP4MZRBqZomkFD05krcoT6q8L7YtrB7jXanmnjjBkXEmDFjKvg8tDUT/h/72Mf6HKJAJ/xinPpeVnFT5FhPe0dbxnHVKUhOl2EnD4sL/vrXv/btkk/vm3UtyjuKMJhXa/hpn0bGq1X1FpNZw92lzAQhbW1KPwtLkav03KgredHMPmGj4tmt/swzzzzB7mTSR/4mJRTPRUM/HYMdC5iKiifsGm2aWVaGE1fGkKldQvlaa7+3WA9VG3697S6LuVL/GL/qaeOIMyxoX7jn5BPKbrUm/XwE31ZjCKte7sQtKUSrCTO5od5LYwz6OdR96V23X+lLDWcsOnHixOCnARIXlJso9xiHU68n+2Zf6c+R34RTa93UijJKfBttWt33a3R6hvKvGeltl/7rUGkvvq+2zWSukp80St+yCCrd13Jtt/5ls8fiLMQqjoc5OY16czB2zY5TMex65geaUZaKcWvreyMnAQlIoMsIqEDvsgwdieQwmGJXNbuKxo4dGygmSyc/WHmJwmzppZfuixK/IcoxfH0WPXTDinQU6Y1OMpPnZ5xxRnCsH4NtjtJnIoaj1DiGrpHhcfQvSoXkJxMg3Jd2DOnQYj+UYYFFcTKluNJ7qG+Heg8DeDCJyS4ifq+QXdEM3ob6diTeU4aYmEChjOID2WCCld99YqfuSMShNAzCZTKw1L6eZwY/RxxxRJDXhxxySPz0pz8NJn+Kv5VXj//d+u1IluuRlMVKdUi5fGyV7FAmmagkTrDh2FgmUHgezLBILL2nDsSk50pXFLzUUek9ilUmYdJzo64o5vELxfZwlfx8NxxTy8R6Jf+LbQvyQLmo5LYZ9tTN+Fs0xThhX00+4446sBHtXZZleZ+r9KQflDqc6sIuDiaeCLOZpijvTO43M6xyflM2R6oNrVRvsUMolSfiw08glItr0S7LskinXGDPzuRGlnnKyEj1CYm/pjwBdpYX+5v8ZiZ5U+qa07WoU7BnoS3KZO4baZDNkSor1cabssNJR9W6r+SuWA9RF2MquU329ba71LUwTf7Ve2VBaRr/0M6lsVW9/pb7vhHciSMn2iT/iW81PPgZFo7rT98xNkv33XqtdSzKnApjJzYnFNmgoKP9YEPCcBdvFf2p9p7xWrVuK7lrRRmtFJd67Kmni5sFqqlrCK9RfT/8GknTjPRmWXv0X4fiSH023DYTXo3se1NXt0P/kvqeugg5buY8DgsO6WunvBmsXRmpOKW4pGut8wPIRi/VHYlXN1xNgwQkIIFSAirQS4n4PCQBOog///nPc3f8zmuxw5NbvvcHhRxKdnZVvGcVPNMpSs+9cuV42UMPPbRhyaVzz24zdpujKKZTy4IFfhsx7WZpWGDvecTkf1LKo0jnmOL3XvW7JGVNP8syD+zyzLL3d3biZxlnw7JiIp9jmDkCkYlJBu78fhwK6mF51ETHTBptuOGGwVFm5B+TceRhMyZOa00GeVEpf6vxk4kFjhtkBTZKc34TjAlkJpSz7P08r8avXnIz0uV6pGWxmjqk1bLDzrLrr7++T+yYsERZSd70WQ5xw2Q4k+JDOIssy/r9BAflLsuaVz5oe1HYDRWvet6zwy19T3jD4Za+K3dlNwaTJuXejYQduw/K7TRsRXtHG59O+uFo42L6WSjGTr+zzjor7UYvvm7K/YMPPtgUfyt52o71FhOdTHhWinPRnvxLz5R5+kLpudYr5Wyk+4S1xrUXvuOnK/hZq7Fjx+bJPeecc4KTGvKHwh+O7kYRhlJsq622KrxpzO1Il5VqY03bQFuPe3aoNqJuH6l2l7EF8caQBsoe940w9BuoSxrhVzk/msEdZXo1+Ue9h0nxQkmc7rvt2oixKP1lxk/8jE3p7u8TTjghXzh/7bXXNhVdcdEP4+l6AxupMlpvPKv5vhV9v2ri1Sw3jUovdUA79V9LiOCQcAAAEABJREFUedXaZlJWUJQm/3hO9/VeaRNGun9J2zaS8zj0hYvzYOVOMBvpOJXmWyPmB/CzUWUJvzQSGISAryQggSYQUIHeBKjd7iUKPzoRpBNFJasGuS9nUK7vtttufa/YZVucfOh7McgNnSgUcYM46alXTNagjGe3GUoFJk3XXXfdXBkzUiAYzCeldOlujmonU4pxRYbqzWMm8VlAwDHo/KwAu7CKux2K4bXqnuOTP/rRj8bvf//72H///fMd2UyStCo+lcIt5m8lN5XsGTTuuOOOwS5eyi6/lciJFJXcaz+ZwEiX61bLYjkZa7XsED7lkondz3/+85MzZtJf6tsbbrhh0l3l/8WFYvwEQi2KanYtFicQKodW+xuONq/96+F9yYr74oTS8L7u75o+Rzp6tv+bkXlCgU5d3S7tHammXr399tvjxBNPDMoTdhjkmFM+WLTEc7PN1VdfHY3cRd0/vv2f2qneGjduXCATKYa1KBjmm2++QKaSH7VcR7rtqCWOvfjNsssuG+eee25+Ag+nE3A8Nz97RfnEcM/PL9CXv/TSS4M6ppGcWl1WBksLPyeSFiShGEBpMZj7Su9a3e6yw7i4aKxSPKu1Z8dvrSyqCaMR3OmjcNxuCq/WBRAsIE5+dNO1kWPRLMti7bXXDhjvvffeQd80seLEos9+9rMxVN80ua/lykKg9B19Ddqa9FzttdVltNp4DuWOdrp4YlSr5jqGimej3jc7ve3Sfy3yamSbWe94pZX9S/onrZ7HYU4QpXrKn1bHifBrnR9odllKjLxKoLsImBoJtCcBFejtmS9tHStWQg5nEPXxj388kiKTyXQ6IUMlEOUDSgjc0fEoDhqx63SDUhGlDEfqDjctrEb/3ve+l3+GkodJuvyhyX+YAEz5ztG2HOdEkORP8XeLOMKXXRS8G8wgRyn9+FWckBnsu3LvkCuOtCNsJojo+LebzDApttlmmwWTHiwsYTI1y5q327Qcp8HsKHPsDsANEx4MXrgfrmHX1THHHJN/tu222wZKwfzBP4MSGMly3SpZrFSHJDCtlh12CJ5++unx4x//OH72s5/1HbVMW7T77rvHYBPllGnqnpQWfjYi3Ve6shusuHOLCaVKbuux5+SH9D0/pVJN/Yx70svRfcU4Yj+YKYb1n//8J+o5ppeFVSgYCY+2B2UUV56HMrfeemuwiGood4O9LypEyRsUPq1u78iLYh8KBe5XvvKVfIKddi+lh7J28MEHDyqzyW0t12I+c/oNeV2NP8SdslWtDBb9bLd6izayqPSEA2W6GOco88DuxGQNRxRS6bmW60i2HbXEr5e/+eQnPxm33HJLrLjiivGBD3wg0s8rUZfQT/rtb38bF198cTBZ3khOrSor1aaBMWHanU/7igxX8y31P3UHV9y3ot2lzBI2hrhwKhv3tRrqERab8j2nEXAqAffVGE4cYTxZjVvcNIJ7lmWxxBJL4F1uWChXbCtzyzJ/imM+4jF+/PgyrjrbqlFj0RdffDHYbZlosECOnxO677774nOf+1yyDjYkHHbYYVFNu9P30TBuinlE37FaWaeNo69CUK0oo4TbaNPqvl+j0zOUf81ILzJBHzCF3ar+awq/eK23zSyOV/D35ptvrqtc0i60qn/ZirE4bXqxHlt11VXB2GdaEae+wCfd1DM/0IyyNClK/peABNqZgHHrWgIq0Ls2a5uXMDq8WTZZ8YcycKidR0yS0HkgRnQGp556am4HNcVOFKvU8WPQDzroJQNsBsJPP/10pCPRq40+XE499dRgcpxvFllkkRHbef7vf/87mAAh3I022qhv11SWZfGZz3wG69ywm6SaFfGs0ic9fMQOnDSBxPNwDcqSyy67LP8Mfxh45A9t9OeKK66ItCKZSYniyv52iCb5waQNcVljjTWilvihgC8qrYoTjfirKU+AcjCS5bpVslipDoFKq2WHiUEWJrEoid85o6064IADIh2vzKQ2x2YS13KGRUQsLErvcI8COj2Xu1LeKHe8Y0J55ZVX5rbhZqmlluprJ6iDTj755CHDYDLj2GOPzRWww1HwFSfWaQv++Mc/DhlWJQf0G4r+/fKXvwwmpSq5T/Zw32uvvYKJ22Q33CvpZ8cV39FOpzYuy1rb3nHCCko34lU0TLCjmOZncpLMspsRuS66a9Q98o7M4h+T+PzMAfUYz4MZJqFuuummSCfYDOa29F271VtzzDFHLL/88n3RvO666/KFDH0WZW5glI5vzLIsOD2ojLOqrfCvmW1H1RHRYVkC1EUozTkVicVEKEipW1COschqrbXWCo60LftxHZatKivVRpnyz2lMyT0/C8YC2PRc6crYgp9lQu5xQz000u0uu1BRlhA+8aDPS57yXIvh55L4ObT0LYvW2HGcnitd6TugPGUBciU3pfaN4k5fhXYR/2HACQrcD2Y4RYY5A9wst9xykRbH8dwtplFj0e9+97tR7nh2fhqPn4M46KCD+pBRJphP6LNo4A0L9NMuUHZcI5tDyToKUk4eTH21VpTRBiLo8yrLWtv364vICN1kWePT2y7913II620zGa8g68lvxoCMt9LzcK+t6l+2aizOOII5Ajgxt8nmK+4xrYoTYWMYR9UzP5BljS9LxEsjAQlIoFkE9LcyARXoldn4pgKBD3/4w5EUlEx4DDVwQ+madhozSVCNMpyJ3xQ8O7/SAC7ZdfKVXXRXXXVVrLLKKsNOBh1MjsFPH7LKO90XryjYhxrkFt0Pdc8EyQUXXJA747caUTLlD+/9+dSnPtW3WxMrjo5lEM19OUPc0oQLCu+vfe1r5ZxVbYccEkc+QNaQOe6LhjCTm6L9SN1ff/31fUGVrsJOL4gjE6vpeaSuhPvnP/85D27OOeeML3/5y/n9cP+gMGOHRPquknwOJhvp2166jnS5boUsUvYGq0NaKTvI4957750vEGKneTq9AkU6J0UkWTzwwAODuiY9F68sOEFJkuzYdfiPf/wjPZa9UlZSW8fpFEwalHVYpyUKhoUXXrjPF9KR6t8+y8IN9QEKDX7/jt3NhVdD3n7sYx+LYjrYZcnpFkN+WMEBR5Rm2eQFe+xU/Na3vhXISgXnucJ/6623Duox+g6V3A1lT5xRiOJuvfXWi6WXXprb3LS6vSPvyKM8MiV/NthggyjKbMnrhj2yCKzIl8UNHEldKV4EfOGFF8Yuu+wS/P5lLX26dqu3SAPlIy1YQMHAcfaktZJhxyrHhPIe5eknPvEJbms2I9121BrRVKfyPf0f2gPuiwbZqUZxWPxmiPuWvqaeWmeddYJxD3LSDEV5pQS2oqxUiks5e8oOC3HTOxSr22233aB1O8pJ3Gy//fZ9R1m3ot1daKGFgp+LSnE/88wzI7XjyW44VxaV09dI33CaBwpIykmyK72yW3LjjTfOFy8PRxHdKO4TJkyI1VdfvS9aLJQbai6AupFyT3258847B+nu82CYN6QjfVJpzMd7Fq2UGw/yrhmG/iFpxO9K8aKeS25wV84QZ3iVe5dlWVAGON2i3PtG2tF3ZAFm8pNFeqecckqQhmRXvNKX3nXXXfP3aXFZK8poMU6NvG9136+RaanGr2aktx36r+XS3og2kzYtyyaPV+ibsei6UlkpF4eiHXUc/QbqS+xHqn9Jv4WxKWFiRmoeh8UGaczMGIEFBISPaVWcCJs6rd75AfxpRlnCX/rMLNYYrL+AO40EJCCBHiLQ1KSqQG8q3u70fPz48UEnkdSxAn6oo/dYHU3nh07gl770pb6dcHxfyaTj4Fjhzkr3Su46zZ4jPnfaaaf8NxHZWV9v/DlSrXTSgoE3Owe54j8KWQz3tRp24l100UX5bkx2ZbI7s+gXz9iTx9j/4Q9/iKR84LnUMNmUlGmstG/kTmVkDc6lYbKan0meZF8vk+RPLVcGCXfccUe/TxlkEb9i3Om493NU4wN+s6ii0ufkB5OAvP/Od74TxVXU2NVqkIPSNLADi1XoyU/ygfilZ68RI1WuYT1SsjhUHUJcimYkZYcFP+zi5GSQouyj9EGhjjKWuDHJz0C6VKZ5h2HhyWqrrcZtMHnKZGMlt8j8r371q0ApzE8moBjOsskTL3jA+1/84hfBsfAoXvit3FSn8344homIonKfiR0U00cffXS+aKDoF+3JDjvsEMSHnX7seCq+H+q+NCwmlFEGlIs7bGCf/GSihvDTM1eOPi72AdLiM+pJGOEGwz2yPHHixLjtttviBz/4QTABxbtyZqh65/e//30wocOCPyaEkYXkT6vbO+oHdkSk+BSvWZb1LWBgZ2LpT6OghKLvkWVZwLWSP0U/y91zEhE/0ZFlk2WW9mWrrbYKWJGPxW+Y2OFnEdZff/1AATZhwoTi65ruyeuRaEOHqrdWWWWVgENKBMdMlspweseV/jL9ZuRqjz326Pcb6ryv1yAbpeFT9hrdJxxuPIuLLTh2mlMIin5QfqkPi6djIDfUEUV3nXIPc35WiF3m4yeNmWqLd2O+GqmyMtzYrr322lFUAlK3U98jw9TPyT9kgMU5vPvCF74QpfVHI9vdFOZg19K6j34B4zr6tqXfIdcsTqWd5x1ygVKX+6JhkVax70F6aaPTaRXJLVzggwKfU0dYLJbeVXttBHcY7LPPPjF27Ng82L///e9Buc4fyvxhQRrlm1df/epXg3aa+1oNZSqdgMKYj/ELrIv+sdicBVvJnj4Z/ItumnlPvOinlIZR7ViUPggnWJR+zzO7XdMJO4ssski/E8NIb6P6jii/2XmZZf3beU7VKG1n7r///nxuiFNm+KbY/xrpMgqjZphW9/2akabB/GxGeqm/HnjggbLBZtng/ddx48b19Zk40eLee+/t8we5py7us6jjptY2kzaKfnUKmjEgJ0YRt2SXrjCgf5CeWVxZWj+1Q/9yJMbiLChiDE4dzRia+iJxKXcdiTilcBmjErd65weaUZY4jYS2kOPuOdGHsUWKt1cJSEACEmgOgeYr0JsTb31tIYEsywIlAsduEw0mTMsNEnlHY06ng3u+oTPI/WCGY23TpAHuSydLBvu2me+IV3FVJmExscN1KEOnGGUFkwYoL9jNhqKh9Luh/OP4PY5US98xacGOMxQGTCbvt99+QWcKhUua2GCQwYCWRQnHH398cIQ83xcHtww6+B077EsNkwCsBmVS/MQTTwx21JS64Rl7jndDiU4nmEkS8p93RcOEAMfrEibKWhQ1WTZ5cF50V7wn7OJz6T08UTQle1btoqQlfCas2Smx4447BitAkxuYMMFC57iSsp8JXDr26Zt6rnRw0/fwId8YWBFHJsvYuUknvZi/HA3JAJErcU3fD/eK/MGavCz9lkk/Jv/IDyZ8mRgpdcMzCpJyg0DeJYPChh0L6fmss86KLbbYIpA9FtLgN8obdsMm+eOYP47fR4bZxZjCYKIw+TPYdSjZSN8W3eE3Jr0rvVaTVr4hrkV/imHwvmjIA/IdO74jDO4xjSzjgFIAABAASURBVCzX+DeUaZQspjwkPOSnnjqkkbJDPUrZJV6YYh7xXDTs9qIOWmmllcqevMCk9k9+8pO+T5Bp6sE+i8INk5onnXRS325l3HLEKvldcJbfsliG+ph0Uw+kydD85aQ/lAsmf5EbZIU40NaW82uS8yH/f/3rX4/UZuMYRijKiTNKco6lZYDPiSBMvrJLnToKt8M1pWHBC0UJO6oIl/zgqD4W4lEPJ/9pG9mVS9vBN9gTP9Ke2jPsUGyzc5djdIk3hvsll1wy2Jn361//esjj25m4+ulPfxrEBz+Lhv4MrGnL2EHCxETxPfeNbu+IR7Uyy04UFNJ8Q1yKBruknKReJz/Te9p+dv7BDzsUVihTUG7wPFwDg1IFDkfLMunOKUXkC1fykEUUuKWsZdnA9p54DxV+O9Zb1IGUFWSZ+NMnQ3bKpYfFCyw0pK9Cm19s6/m2nEEmBuuDNLPtGKw9KxfXweyYWE6yiDKRPhllnP4P9STHdfJMmUz+sFOffguTpfRTkj1X6kHqEe6HY2iDqVOH800tbqnfrrjiinwnJguHqZ8oDxxdzYKLZOgTnX766XH55ZfHUD+HleIxlEzgrlFlBb/gBTfuMdXIRe4Gx5MM+YSZdNvvP/VCad1OfxfZYPE07RL1B/ec0ALHcvUH/jSq3e0XwUEeSus++rCUZ8YT5CPyydiLNpb6Icsm13nYb7LJJkG/+OCDD+7Lc/oBuKPNScFeeeWVgXIURTGyg0FxDR+U55QX6trkvtorvBrBnXaReoz6jLBpb+jnc1801IWEx2I66knSXVyQVnRLXwdGRbty94xzWUSQ3tG+sCubsQbtN3wZ76HIhRvuqEeJI+WtdDxVTj75ptQU5br0Hc+NHIuyI5aFT+V4oLwmDcgLbXpxN3+j+46lsk46GV9TnyfZRKbmn3/+QGaRidL+LO8bXUarlRXiWzTV1J9F96X38GjWXEdpWMXnbklvrf1XWNAeME7hnvLMgkXKJHnKXCMK63LlhfaLdozvKplGtJnIOXVdGq+QZyz6om5CYU7caB/YkEI9XpyTufjii/NTPegb0Fckns3uXxJGqaEtasQ8TpZl/RYxM+6gLSgNDybUGccdd1wwDmceDI5Fd42KU/ITmUn31P3EIT0Xr42cH8DfRtYdyBF1KjKG37R9KNS510hAAhKQQPMIqEAfgq2vyxNg0M6kP0fIMek9ceLE+NGPfhRMftAZYXB38sknB5NFdBrpULKDjs5geR/ft2VCDWUwNqxCZMKA+1Ya0kR6GZgX48GOKwbqKMfPPvvsKBomN+g0MzFIZ5CJlNR5ZDdOKQs690z8J/85lofBaHrmmmVZMFhm4MozBjcsMqDDC3PiySQkygTe0zEkbCZiXn/99ZhuuumwznefMZnAAxOadFyZzGMC5PHHHw/ygXxD2clE0F//+tfYcsstK54gkGVZEA6TnUzu0JnDzzShRNpRoLC6FDfwYbK9dCKF+F4+aTKR9BM3DIpVFO/clzOklbxI7wiLtI0fPz7WXXfdfBIKZQF5ldwwOcHOdxQRTNRhT5xRrHCP4VgkJiO4r9cwmVM8phGFIxNpxBGFP5ODHO+//vrr9wXFxDIKPDrFDBz7XgzzBlkjPPKSckj5QtGEYp5JPyb/9t133+DY5tL8ICjkn3xERnlGXthVQ17xnAxyzoR30Q+OgebIS8oBCxXIB3a2pp2R+MXuGybDGBhnWZYfw8wAM/nLZHRxoJnsyWdkKT0jM0l5lOy4Em92c3CPQZ6RRe5LTbVp5Tt27hflAybldhfhJ8cXM+DnO+JTPMYuyxpXrvF/KNMoWWSlPeWM8MhHynutdUijZIe4lB6fjiyVqz9QyjBZQX1HvIkD35eaiZPatySvvEPGyU/uSw11CRMhtI28o7zxExW0g5QXdhmwc+tzn/tccMQlbQr1N26LBqUmTIt21A/IbtGu2nvabCYpikp0vmXwzYQWZQfZpe6mXvj2t79dsa7nu8EMYdEOJQa4RbGIEg1lCPURdRE7+2k7eZ8MdQV19qabbpqsgjqKOrDY7vGSSTPijeGedpVyzSQ27wczhM1CAZQAtEW0d9T/9GPIb+LITpkNN9ywrDdZ1pj2Lnlercwm9yy+oD0j7cmOeoX2DFYoDliIkN5xhVHRPXYoNaiXuR+uoZ5ngciWW2454FPKFGFxxR19CSY7uS91TLyH6vvwTTvWW8QLeWfSjwUvPJM3tOPsXqfup+5BxlhEQv+LHYgsFMFtqUEGh9MHybLGtB3UTcPtd5XGfbBnfvqHeg+FD+6YwGRBBf0ffhKIeoddpMV+Dm6pm5DbD3zgA3zWZ0rbXtp9+gN9Dt67gX+xrqYfQZ373ut+FyZLWciXLOkXIZvpeThX0kW9lb4hDZQH+p3IRzJM+DPOYbEwDFAulqZjuDJBmI0qK8gF4xq44S9mqP44zKrtb8EIzvw0GH4nk9ol6g/sBuuf8r5R7S5+JTPYlXoMJVoq87hl/Et7wZgV2aXPgB39eOxwg0HRyDiIvkdR8cmCNdjiN+6SefbZZwPZwSAb9B3oP5YqKZP7aq6N4k49Rr1B/jEXgBwj29R5lD3qQJTmhx56aL7wnnqS+rJcHHFfzTiDb+HJYiQUKzxj+LkY+g8srmOBIopyOPMuGWSTtj4p/bEnrvQRucfUM95o1FiUeGDoP7IgizkVnjHUnfTP2CVL/VFU/PG+0X1H5JGxIX0K/C+aJJvUb8wxULciW0U36b6RZZR6iTJAfuI/fWUWFHBfaugzU+8me+JIfzw9pyt+0vbiF3Zcaau5L5osa2zfr+h3pXvi1k3ppY4Ybv8VNvQPWEzFPYa6lfqEsRt5ioxmWRbUJZyIQR7ijrE3dQ/1J8/lTKPaTOSfuQDqxBQOdRM/tUG7QN3FGGf//fcP2ovkBnv6SYypmc9L9qSPuKe2Bna19i+Tn4NdYckYl3Kf3NUyj0Nfl1OWEgfmJ2HDOJQ6mLad+aDPfOYzwRwY84fk2bhx41KwfddGxQkPGeeSP9xjmMOhP8l90TRjfiDLGld3MEalz1iMM7JSfPZeAhKQgAQaT0AFep1Mmdyhsa9kUFjWGUQ9nzf1W1YeM0nO5A7HcKPIYgKbCXIGkXSS2BFNJ4n3xc7YYBFjMM5AHL+KCsfBvmnWOwaiKPZIE5N9TOoUw2IgS8eWjh/KgqLBPRP0KKSL39HpYYCf/GGlKZ3h2WabLZj4TvYMmFi5yu8nwg8mvIMtk+34TweVDjmdUiYLmKxgkpbO5uGHHx50xtmNjpIAZQDxzLLJOyH4lgltJsZwyw5o8gxFJ4MUvkVpjh0DU/wl/MFMlmXBjjb8ZGCDgprdiAwM2HFPpxxFFYNuOszELfnHakpWEFOWUCaT/vQORTZ8mChgIjrZpytMmcxiApZ4Y48yFsUVq15JJ+lFntipgCzONNNMwc56/CYP4MzkS/GUAZjDg3fFPMD/4RryhPwlLkx8ZVmW75LkiGgGE/hPvODFhCpsyAcUD8hYPR1j5JfBCwMvyimDMyaeSD9MYYRSm/CL6XrggQdiq622CuLB7pjiOzgyICS+uEvvWGELTybW8A/DAIkj+5mMgDETi5QN/OX9xEkKShRsKPcYVHKkNQOr5Cd1CAo3Brj4jazgjklq5Cy5Q2YIn7oDd5jByhYTPiic8I80VJtW/EUuqBvSAJ04sGOOtH3xi18M/MNf4skOmEr8UIrybaPKNX4NZRoli5Qp5Jny3og6hLyDba2yQ15SVpEjdhwkDsgS9QeygP/kC3UNA3sm73HHzja+5x3PyVDfEC/a+mRHnlPPIbf4l+zTtdg2MqHDIifknnqKRWVM6PEddTKTium74hXZWmONNYpWwcAf1v0sh/FA3Ypyn7JImaTspc+pNw855JB8op6FPVk2uZ1I74d7hQGTLii0yU/qW/wgTMJmdyZ1wNixY4P2kL4EO6RhwoKaomKB7yj7KCOII3HFDpP8I02pfsF+KEN+MHFC3JiYoi7BjjoaOSAswhzMnyyrvb3DX2SNsKqRWdxjaO+RC9pPJn1gRztLXUq7gh39A+ob2PBNMrSJLOpLz+lK+57uh3ulDmAXBEp45Ibn5AfxKW3f0juulAHKJGUT7thhqMfL9X3atd4izvRxUH5StlkYSH3BAhnKPKeuINdMDrJ4bYklluCTfgb5RQ6QweH2QeppO1hkwaIR6obh9rv6JaCKB/oKKC8oc8gJhnYUBS31EnGgr8LR1SgyKB/YEy/cEgQMkRkWa1EPY4ehH0AZJgzaXvpu1Om0vezixE0yTMDTRyC/CAM5JB781i/fJXeETV+J04vwM9lXc6W/xulHLBpA+U+5Heo7JvdpL2hzcFuPTNRbVuijw5L2CSUe8UmGPjP9HPKBn8pIzOCIXaXyXOxvJb+4soCMsQtjGMYyiRV1GvUV5aFc/5Rvi4Y2h3aEMSkca2l3i/4NdU+Zp3/OIiQWEZFuviH+pAO5RpHL2IcyihKFhazUz/TxkRHcJ5NlWWy++eb54mXqTerP9A75p36lnqWupKykdxWuQ1o3ijtliVPjqOPoK1Gf0K6TPsoaCy3pu9DngllpxChb1fa9i99SNlGMokxGVhgzseCYcFL7TV7QPrIwATllrMPYBbaUffrnjRpvEDfq+3rGopQ3/KHOQLmGPDBGoG6iHWHhH+0E5Zt2m/KRZf37as3oO9KXoF2DH+Nq+hLEE3vqTupfFPrEEftKpt4ySp5Rb1O+yMdiOMgassh73KX6iHYB+UxuGU8iE9RVtCfYs5CT8ezOO+/MY59BmUk/P/mZXmRZfX2/5M9QV9JB2N2SXspjrf1XWGVZFuT7Xnvt1ffzEYwHmPthjoM2lD4NdQ/KW75JhvkPxiHFfE/vuFKmqFsZ01I/ZFntczTIIYvxqHeo+yknhEG5oczSpjFfSD1J20G9zimXtBHUa9RluE+GehM5qLV/mfyp9ko9Tvmhr0bcMYzb6JOkcRZ9AMZw1L28p5wwj8M3KRzmDamn6M+xYOK5557LT1+hTPId9T6yzRwY3Gnn0rel13rjRFlnvot4M1eT/KcfybicPKPvRZmjDWnW/ECWNabuoK1BJhhnkBbqKsZN3GskIAEJdCsB2krGW4yDKhn6ec1Mvwr0OunSEDOhXckwCKoziLb/nAErg1A6W6zYY+Unu1tZLUtHliMmq00EK8FR2NLJ3n///WM431YbxnDc0dllwo80ManbCEMHn514KR5MYjBARnlQzn8mXOkk0dFO3zDIZjDAN8SNSQQmGelkJzf4y7esvEVRgDIgy/oPtHHL5A6KVDrw5F+KA36zKp9OK51j3FZriAe7DvieRQj4id+EwcRRuU4yChMmG9mhiftSg0IsyVS5eDDgYCcTaeZb/GEwguI1uScdyCp+ER+UfqzgRBmWvuPbUsO70jxIfg7nChc6uUwYsaiCK4tMmBRJ/jDw47cCyTcm4VGs8116X+s18WECJKXQmiEiAAAQAElEQVSvHKOi/wxyGADiLn1TvBJ/GOOu+B2TEwy04IxBDhhUEYfkjsUMpI/3KDH5Bhlg4jDJTDEs5JwFHch1csf3RTfpnkEc7jCDlS1YsLsD/0hDtWnFX8occUphpivpQXGIf/hLeirFE34M5hOTRpbr5GelKzLVKFlsZB2CHNQqO+QlZTXlRfFKviAL5B35Ql2DkiC5YQDP97wrMqMNY8I7uSteWeyFf0X3xXvaxjTpSPjIC78TSZkhnVk2sD5O31MPwIGyR/8CJRCTP7BObmq5UgYpi5RJ4pTSAzcWOFEf1uJvuW8Ii8lc0kF9S1iESdhMqmdZFkzKMLnCZFK5dqHoL3EjjsQVvzDJP9JEeEX3Q93DmPwpygF+EwZhDfV9ek9ZGm57x7fIGjJHmKSl1JC2JLO4x9AeMBHERA99Ln42AaU5E2vUm5wegII2ywbKVpZlQdpIL+7ZtcsgBAUCftdqsiwLJtEJm35DSgf1W2n7VgyDskP6it+kb7nCpbTdhXU71lspXbTlKO/Im5QuWMOGslBJRuvtg9TadsCTupB6BualBhkcrN+V0l3NNcsmywn1AWww9AlRFCUu1AfsGGdhCP21Un/pNyAzxKs0rrSz1K20vfSXOR0Bu1J3PNNHoCxRBpHDSu05u9I5rhg/S+My1DPyz04nFLnU/eyWRBYwhIfSKRl+KoIdyIx9kBXY1CsT5G2tZYX0wrISP+JHPrBQB9awgCN2vINxqSn2t3BfNMSVMQxcYMW3hM3OVxRbRbdD3dfT7g7ld+n7LMuCtpy+I/Uv8Sb+pCPJNQoUxpEoHqsZ01KHUG8iP/iHgSlyQT2bZQPr9tJ4VfvcKO6UX5QTxBH5TnGmHqTNGSzdyBr8+tdB7wZ+YOCALOKuNF2w4sQ1ZIUxE4sn9t5770jtN/0l2kuUVLT3xe8p+/TPU74RVjLk4XDHG8lvWNQ6Fk1+cJwxCzBOOeWUoNzAAEUUk4K0+YOVC9JJHQvPRvYdiRvjafICv2FFPUwdTv+nXH3NN+VMrWWUPKPepv4m/FKDPe9xl+oj4ljqDjvqKtoT4odSE8al7nimn5/8xG3RUH5IO33aJEf0dWFSaa6j+P1Q96SDsEkXcSk12PMed52QXuJKeayl/5pYwZxFOvRj4UE/kfJGuaMtwm/qS96VGuyL+Z78TFf8rrXNTH6kK+MZ6h3qQOSNuFBuKLv013CH0pi6j3qd+GM3mKG+q6V/OZifld7RrlGPEHcMMl46zqL8UPfyPs3jlPpHvUB/7uSTTw7Gv9StsMDQv6KtY0NH6XflnuuJE3GlL0tcCbvUUJYY71OW6BMn+cJdM+YHkLV66w7kiL4FcUSWkLly3LSTgAQk0C0E+Ek0FuXSv61kaCubmV4V6M2kq9/DJsCODSYeONpulVVWGfb3bfWBkZGABCQgAQnUSIAJFRZxMQnMAJ5dl6y2rNE7P5NAToBJRgYX7LxgRxgn1OQv/CMBCTSEABO1TBrzUxTssMJTJmYpdxjsmDxNholbdr9dfvnl+UkjrLDnG40EJNCBBFocZfuOLc4Ag5eABCQgAQlIQAIS6DoCKtC7Lks7N0Gs/mVVKcfvsquB42k6NzWdH3NTIAEJSEACrSfAUYDsVOR4SdvF1udHN8SAnTgcH8+xiuV29nVDGk2DBFpBgCO9+RkXjgDl2O3hxIHd1hw7z66t4XynWwlIQAKlBGrtO5b647MEJCABCUhAAhKQgAR6nYAK9F6XgDZJP0e385veHGnD8UscQdYmUTManUnAWEtAAhLoeAIccYcyhuNf2bXY8QkyAS0nwFHSLMbgZ0Q4ujTLGnckcMsTZwQk0EICHKXJ74L+73//C3acD3fB09VXXx2LLLJIy3++qoUIDVoCEmgAgR7uOzaAnl5IQAISkIAEJCABCUigPwEV6P15+NQCAi+//HLsuOOOwe/ScOzhvPPO24JYGKQE2omAcZGABHqdAL85t9pqq8UPfvCD+Pa3vx1ZpqKz12Wi3vQ/8sgjwe8Y8juE/MaqixXrJer3EnifAOMZfpMVG36bkmPZUarzPJjBzcUXXxw/+9nPgsUtWWZdPxgv30lAApUJ2HeszKb93xhDCUhAAhKQgAQkIIF2JKACvR1zpYfi9MwzzwS/ATjbbLMFk0fjxo3rodSbVAl0KQGTJQEJ1E1gwQUXjKuuuio233xzled109QDCEw//fRx2GGHxUknnRTTTTcdVhoJSKBBBMaMGRMTJ07MfeOEh6222io+85nPxPnnnx9PPvlkoCjPX076w88o3HPPPXH00UcHdT2K8+OPPz5cRDwJjv8lIIGaCVCf2HesGZ8f1kPAbyUgAQlIQAISkECXElCB3qUZ2wnJYgfU4YcfHt/97nfjpz/9aXB8eyfE2zhKoBMIPPvss8FRvcT1lVdeiUcffZRbTRUEdCKBdiDw4Q9/OD70oQ+1Q1S6Ig7FOvCBBx4IfjqmKxI2jESw43zJJZd0QcYwmOlUAsMhwJhmyy237PvkkksuiXXXXTfmmGOOGDVqVF72siwLFrMstNBC+Y7zz33uc3H99dfHoosu2vedNxKQgARqIWDfsRZqfiOBCBlIQAISkIAEJCCBSgRGVXqhvQSaTWD06NGxzz77xKc+9al8QqnZ4em/BHqBwJtvvhk333xzvjCluNvpkEMOCX4Tr2jXCzx6MI0mWQISKBBgp+epp54aJ554Yp/tgw8+GMccc0xPKtH7IHgjAQk0nAAnO3DCw3XXXRebbLJJTDnllAPCwO7Tn/50/OpXvwoWOx588MExwwwzDHCnhQQkIAEJSEACEqiCgE4kIAEJSEACEmgiARXoTYSr1xKQgARGksBrr70WnOqAYmiZZZaJbbbZJjccAc3xoSxW4XhQfk95JONlWBKonoAuJdA4Auw033333eNvf/tbbLrppnl9SL243nrrxSmnnBKLL754zDPPPHHppZc2LlB9koAEeppAlmXx8Y9/PM4444x444034sUXX4zHHnssN5wMhB11zpe//GV/SqGnJcXES0ACEpCABCQQIQMJSEACEpBAexNQgd7e+WPsJCABCVRNYOqpp853nh933HFRNCiK7rrrrnjooYdyc+ihh1btpw4lIIFhENBpWxEYP358HHHEEf3qQ+rGc889N68LU5246qqrtlW8jYwEJNA9BMaMGRNzzjlnbuinhf8kIAEJSEACEpCABLqDgKmQgAQkIIGuJ6ACveuz2ARKQAISkIAEJCCBoQnoQgISkIAEJCABCUhAAhKQgAQkIIHuJ2AKJSABCUhgaAIq0IdmpAsJSEACEpCABCQggfYmYOwkIAEJSEACEpCABCQgAQlIQAIS6H4CplACEpDAiBBQgT4imA1EAhKQgAQkIAEJSEAClQhoLwEJSEACEpCABCQgAQlIQAISkED3EzCFEpBApxBQgd4pOWU8JSABCUhAAhKQgAQk0I4EjJMEJCABCUhAAhKQgAQkIAEJSEAC3U/AFEqghwioQO+hzDapEpCABCQgAQlIQAISkEB/Aj5JQAISkIAEJCABCUhAAhKQgAQk0P0ETKEEhkNABfpwaOlWAhKQgAQkIAEJSEACEpBA+xAwJhKQgAQkIAEJSEACEpCABCQgAQl0PwFTOMIEVKCPMHCDk4AEJCABCUhAAhKQgAQkIAEIaCQgAQlIQAISkIAEJCABCUhAAhLofgKdl0IV6J2XZ8ZYAhKQgAQkIAEJSEACEpCABFpNwPAlIAEJSEACEpCABCQgAQlIQAIS6EoC/RToXZlCEyUBCUhAAhKQgAQkIAEJSEACEpBAPwI+SEACEpCABCQgAQlIQAISkIAEJFCeQDcp0MunUFsJSEACEpCABCQgAQlIQAISkIAEuomAaZGABCQgAQlIQAISkIAEJCABCTSNgAr0pqEdrse6l4AEJCABCUhAAhKQgAQkIAEJSKD7CZhCCUhAAhKQgAQkIAEJSEACEmhnAirQ2zl3OiluxlUCEpCABCQgAQlIQAISkIAEJCCB7idgCiUgAQlIQAISkIAEJCABCXQ5ARXoXZ7BJq86ArqSgAQkIAEJSEACEpCABCQgAQlIoPsJmEIJSEACEpCABCQgAQlIQAJDEVCBPhQh30ug/QkYQwlIQAISkIAEJCABCUhAAhKQgAS6n4AplIAEJCABCUhAAhKQgARGgIAK9BGAbBASkMBgBHwnAQlIQAISkIAEJCABCUhAAhKQQPcTMIUSkIAEJCABCUhAAhLoDAIq0Dsjn4ylBCTQrgSMlwQkIAEJSEACEpCABCQgAQlIQALdT8AUSkACEpCABCQgAQn0DAEV6D2T1SZUAhKQwEAC2khAAhKQgAQkIAEJSEACEpCABCTQ/QRMoQQkIAEJSEACEpBA9QRUoFfPSpcSkIAEJNBeBIyNBCQgAQlIQAISkIAEJCABCUhAAt1PwBRKQAISkIAEJCCBESWgAn1EcRuYBCQgAQlIIBHwKgEJSEACEpCABCQgAQlIQAISkED3EzCFEpCABCQgAQl0GgEV6J2WY8ZXAhKQgAQk0A4EjIMEJCABCUhAAhKQgAQkIAEJSEAC3U/AFEpAAhKQgAR6kIAK9B7MdJMsAQlIQAIS6HUCpl8CEpCABCQgAQlIQAISkIAEJCCB7idgCiUgAQlIQAK1EFCBXgs1v5GABCQgAQlIQAKtI2DIEpCABCQgAQlIQAISkIAEJCABCXQ/AVMoAQlIQAItIqACvUXgDVYCEpCABCQgAQn0JgFTLQEJSEACEpCABCQgAQlIQAISkED3EzCFEpCABDqXgAr0OvPu4YcfjjnmmKOiee211+oMwc8lIAEJSEACEpCABNqGgBGRgAQkIAEJSEACEpCABCQgAQlIoPsJmEIJSKBlBN56662YaaaZKupeZ5111njssceaGj8V6HXinXvuueOJJ56oaKaeeuo6Q/BzCUhAAhKQgAQkIAEJNIaAvkhAAhKQgAQkIAEJSEACEpCABCTQ/QRMoQQ6mcAUU0wRzz77bEXd6//+979cud7MNKpAbyZd/ZaABCQgAQlIQAISkIAEGkVAfyQgAQlIQAISkIAEJCABCUhAAhLofgKmUAJDEhg9evSQbupxoAK9Hnp+KwEJSEACEpCABCQgAQlIoCoCOpKABCQgAQlIQAISkIAEJCABCUig+wmYwm4goAK9G3LRNEhAAhKQgAQkIAEJSEACEmgmAf2WgAQkIAEJSEACEpCABCQgAQlIoPsJmMKcgAr0HIN/JCABCUhAAhKQgAQkIAEJSKBbCZguCUhAAhKQgAQkIAEJSEACEpCABLqfQKNSqAK9UST1RwISkIAEJCABCUhAAhKQgAQk0HgC+igBCUhAAhKQgAQkIAEJSEACEpDACBJokQJ9BFNoUBKQgAQkIAEJSEACEpCABCQgAQm0iIDBSkACEpCABCQgAQlIQAISkIAEOouACvRa8stvJCABCUhAAhKQgAQkIAEJSEACRm+76AAAEABJREFUEuh+AqZQAhKQgAQkIAEJSEACEpCABHqOgAr0nsvyCJMsAQlIQAISkIAEJCABCUhAAhKQQPcTMIUSkIAEJCABCUhAAhKQgAQkMHwCKtCHz8wvWkvA0CUgAQlIQAISkIAEJCABCUhAAhLofgKmUAISkIAEJCABCUhAAhKQQEsIqEBvCXYD7V0CplwCEpCABCQgAQlIQAISkIAEJCCB7idgCiUgAQlIQAISkIAEJCCBTiWgAr1Tc854S6AVBAxTAhKQgAQkIAEJSEACEpCABCQgge4nYAolIAEJSEACEpCABCTQwwRUoPdw5pt0CfQaAdMrAQlIQAISkIAEJCABCUhAAhKQQPcTMIUSkIAEJCABCUhAAhKoh4AK9Hro+a0EJCCBkSNgSBKQgAQkIAEJSEACEpCABCQgAQl0PwFTKAEJSEACEpCABCTQYgIq0FucAQYvAQlIoDcImEoJSEACEpCABCQgAQlIQAISkIAEup+AKZSABCQgAQlIQAKdT0AFeufnoSmQgAQkIIFmE9B/CUhAAhKQgAQkIAEJSEACEpCABLqfgCmUgAQkIAEJSEACkwioQJ8Ewf8SkIAEJCCBbiZg2iQgAQlIQAISkIAEJCABCUhAAhLofgKmUAISkIAEJCCBxhBQgd4YjvoiAQlIQAISkEBzCOirBCQgAQlIQAISkIAEJCABCUhAAt1PwBRKQAISkIAE2oaACvS2yQojIgEJSEACEpBA9xEwRRKQgAQkIAEJSEACEpCABCQgAQl0PwFTKAEJSEAC3URABXo35aZpkYAEJCABCUhAAo0koF8SkIAEJCABCUhAAhKQgAQkIAEJdD8BUygBCUhAAv0IqEDvh8MHCUhAAhKQgAQkIIFuIWA6JCABCUhAAhKQgAQkIAEJSEACEuh+AqZQAhKQQKMJqEBvNFH9k0ANBGafffbIsiw3c8wxR0w33XQaGSgDykDDZGDixIl9fn3sYx/ru7eusa5VBtpaBkasrH74wx/uC2uFFVbou1c+lA9loPNlYNy4cX1levnll++7N287P2/Nw97OwxVXXLGvPBf7+spFb8uF+W/+KwOtkYFZZ501n9PNsiz++Mc/1jAz7CcSCBFIQAJtSEAFehtmilGSwCuvvBIaGSgDykCjZIBaNflVvE92XpU1ZaC3ZaBYLxTv65OL3mYqO/O/XWSgWKaL9+0SP+NhWVEGapOBYnku3suzNp5yk5syoAzUIwPUwxoJ9DYBUy+B7iSgAr0789VUSUACEpCABCQgAQlIQAK1EvA7CUhAAhKQgAQkIAEJSEACEpCABLqfgCmUQAUCKtArgNFaAiNJYJZZZokFF1wwN9/61rfi0ksv1chAGVAGGiYDb7/9dnB0O4bjW61jrGOVAWWgKANf/epX++oIdl4U33nfmbJivplvSQb4qSjafwzjjWTvVRlRBjpbBl599dW+tvvNN99s2LhBuehsuTD/zD9loDUyMHbs2HxOl77WI488MpJTyoYlAQlIIETQPAKjmue1PktAAtUSmG+++eKee+7JzWabbRaf/vSnNTJQBpSBhskAk+Y333xzYDbeeOOG+WtdZV2tDHSHDHzuc5/L6wfqiIUXXtg6wvan1TJg+A2UwaeffrqvfK+77rqybSBb28DuaAM7NR8/8pGP9JXtCRMmWLYt28qAMqAMtFAGllpqqXxOl7ndlVdeudrpYN1JQAISkEBEWzNQgd7W2WPkJCABCUhAAhKQgAQkIAEJSKBzCBhTCUhAAhKQgAQkIAEJSEACEpCABDqdwNAK9E5PofGXgAQkIAEJSEACEpCABCQgAQlIYGgCupCABCQgAQlIQAISkIAEJCABCUggul6Bbh5LQAISkIAEJCABCUhAAhKQgAQk0P0ETKEEJCABCUhAAhKQgAQkIAEJSKARBFSgN4Ji8/zQZwlIQAISkIAEJCABCUhAAhKQgAS6n4AplIAEJCABCUhAAhKQgAQkIIE2IaACvU0yojujYaokIAEJSEACEpCABCQgAQlIQAIS6H4CplACEpCABCQgAQlIQAISkED3EFCB3j15aUoaTUD/JCABCUhAAhKQgAQkIAEJSEACEuh+AqZQAhKQgAQkIAEJSEACEpBAgYAK9AIMbyXQTQRMS/cSeOKJJ2LRRReNo446qnsTacokIIFhE7j77rtjuummiyzLqjZjxoyJeeaZJzbaaKM47bTT4umnnx52uH4gAQm0P4G33347br/99vjmN78ZiyyySEw11VR99cTss88eq666apx44olBHyOl5t1334099tgjtthii2TlVQISGGEClL8sq75dz7IsKNMTJkyIb3/723HdddfFm2++OcKxNrhWEDBMCbQTgaeeeirmnXfevr5Glg2vHsuyge4nTpwYL730Ujsl07hIQAISkIAEJNDlBFSg15HBTCo999xzMcUUU8SUU045wGBP5w53dQTjpxLoRQKmeRACl112Wdx11125suv5558fxKWvJCCBXiKw8MIL55NK99xzT6y77rplk55lWZx66qnxxhtvxIsvvhhHH310rjQ/55xzYrPNNotZZ501ttlmm3jmmWfKfq+lBCTQWQRQnP/2t7+N+eefP5ZYYok48sgj49VXX43DDz88/v3vf8djjz0WF1xwQSy22GKx0047xbhx42KBBRbI3R166KGB6awUG1sJdBeBU045JZhzOOCAA2LUqPLTNxtuuGG+QIbyfP3118dWW20V999/fxx22GGx/PLLx4wzzhj77bdfvPDCC90Fx9R0EwHT0mUEZptttnjwwQfjv//9b2y33XYVU7fLLrvEAw88kPdHqMPom5x11lnxta99LaaZZpqK3/lCAhKQgAQkIIHuJ/DOO+/E6NGjB+hdky4W/evLL7/cVBDlR2BNDbJ7PM+yLB/EvvXWW/mqblZ2Fw32ZHCWZeE/CUiglwg0L61Mep988sl5ADfccENce+21+b1/JCABCUAgy7Jc+bX//vvH2LFjsepnllpqqVh77bXzzie7zzfffPM46aST8t0hyeEJJ5wQK6+8cj7pley8SkACnUeAhTCf//znY5NNNomHHnooT8C3vvWtfBHe9ttvHwsuuGDMOeecseyyy+YK9UceeSQ23njjuPfee/Od6kxqv/LKK/l3/pGABFpHAAU4ZXeNNdYYEIlpp502dt1113wRTCrPBx10UHAqzac//encPeMHTpOYe+658wUzLvDPsfhHAg0koFeVCMwxxxyx++67B7vRS93MNddceX+Dd9RfGPomnIx1zDHH5It899xzz9LPfJaABCQgAQlIoEcIsICYTQFFnWvxHv3r1FNP3VQao5rqew94PsMMMwyaSldMDorHlxKQwDAJ3HrrrcEOdD5j8otdKTQWPDfM6JEEJNDxBGaZZZYo10fhiHdWahYTuPrqqweK9aLdP//5z9h3333D+qVIxXsJdA4Bdn2xEOZ3v/tdX6S33HLLQLFWaXwy88wzx29+85tgp2vfR95IQAJtQYCJIU6JqTYynCbB6TIrrbRS3yfsQF9nnXXykyUYR/S98EYCEuhtAk1OPYuAxo8fPyAUNhxhBrx4z4L+yl577ZUr2d+z8iIBCUhAAhKQgAT6ERisL9HPYY0PKtBrBOdnEpCABEaaABNdp59+en70cgr7oosuCo5zT89eI2QgAQkMj8BMM80UH/nIRwZ8dOGFF/btWh3wUgsJSKBtCfDzLl/96leDhTApkije2FFeuoAmvU9XBp/f+973Yscdd0xWXiUggQ4lgNKKE2mmmmqqfimgjBcX1/R76YMEJCCBNiKQZVmuQGe3eqVoaS8BCUhAAhKQgASaRUAFerPI6q8EJCCBBhPgt8HOPffcfr7ym4hnn312PzsfOpqAkZdASwiUU6A/8cQTcd9997UkPgYqAQnURoDFdj/60Y/iL3/5Sz8POMa9XDnv5+i9B5To++23X6Tjn9+z9iIBCXQggeWWWy7WW2+9fjHntwR32mmn+M9//tPP3gcJSEAC7UiA3eurrbZaO0atEXHSDwlIQAISkIAE2piACvQ2zhyjJgEJSKBI4Prrr49HH320aJXfn3nmmYGiK3/wjwRaSsDAu4kAirhXX321m5JkWiTQ9QSuu+66+MUvfjEgnfxUQ5ZlA+wrWbBzFUV86c7VSu61l4AE2pMAp05ssMEGAyL3+OOPx1FHHRW09QNeaiEBCUighQTYOED99Nprr+WxyLIsVl111fzeP+1GwPhIQAISkIAEupuACvTuzl9TJwEJdAkBlFgnn3xyZNnAyW+OcL/sssu6JKUmQwItJGDQ/QhMMcUUwfHu/Sx9kIAE2pYAirDSn3ohsjPPPHMsuOCCMdx/yy+/fGy22WbD/Uz3EpBAmxFYdtllY9y4cQNixSlWKKoGvNBCAhKQQAsJ3HzzzUH99NZbb/XFYoklloiFFlqo7HxInyNvJDBcArqXgAQkIAEJDEFABfoQgHwtAQlIoB0I3HrrrXHNNdfEwQcfHGPHjh0QJZTrKNkHvNBCAhLoGQL1JPSee+4Z8DnHPS+66KID7LWQgATakwCKsNKfeiGm888/f1nlGe8GMyyi2XvvvWP77bcfzJnvJCCBNicw22yzxQILLDAglpxsdfvttw+w10ICEpBAKwncdNNNA4JffPHF47jjjovppptuwDstJNCrBEy3BCQgAQk0n4AK9OYzNgQJSEACdRFIO8pQZm255ZaxxhprDPCPHego2Qe80EICEpDAEASef/75uOOOO/q5GjVqVOy5554xyyyz9LNv4oNeS0ACdRK4995747HHHhvgC5PNHOM84EUVFnPNNVd8/OMfD/9JQAKdS2DMmDExzzzzlE0APxFV9oWWEpCABFpAgJ+m+93vfteCkA1SAhIYYQIGJwEJSKAjCKhA74hsMpISkEAvE0g7yr785S/nyqwttthiwNFlb7zxRnBsK8r2XmZl2iUggeERoM744x//GDfccEPfhyjafvazn0W530ztc+RNCQEfJdB6AuzYokyXxmTeeecNFGil9j5LQAK9QSDLshg/fnzZxD7yyCNl7bWUgAQkMNIE3n777Tj++OODn6gb6bANTwISkMDwCOhaAhLoFQIq0Hslp02nBCTQsQQ4uv3ll1+OiRMn5mngN0n5LcP8ofCHY1tRthesvJWABCRQlsBLL70Ut912W7Ag50tf+lKgdGPX+Ve+8pW477778iObsywr+62WXUjAJHUFgXI/xdAVCTMREpBA3QRmmGGGsn48+OCDQZ+g7EstJSABCYwAgTfffDMfl7B4d4899hiBEA1CAhKQQI8TMPkSkEDVBFSgV41KhxKQgARGnsCrr74av/rVr/Jj2xdZZJE8AjPOOGOwGz1/KPzhdwwvvPDCgo23EpCABPoTuOKKK2L66afPzYQJE/L6BRcc8bztttvGNttsE3PMMQdWGgl0DAEjOpkAE9CT7/wrAQlIQAISkIAE2pvAQw89FFdj7kgAABAASURBVB/84AdjqqmmCsYl5513XntH2NhJQAISkEBbEDASEhhJAirQR5K2YUlAAhIYJoFbb701rrzyylhvvfViiimm6Pv6s5/9bIwbN67vOd2cdtpp8fzzz6dHrxKQgAT6EfjkJz8ZL774Yr7j/H//+1/88pe/zH8XlVMujjnmmOCECxbpHHzwwcECnn4f+yABCTSDgH5KQAISaBkBFtAVxxgti4gBS0ACPUcA5TnzHbfffnvsu+++Mdtss/UcAxMsAQlIQAI9R8AEdxgBFegdlmFGVwIS6B0CHKl8+umnB79dusoqq/RL+DzzzNN3pHvxxQ033BDXXntt0cp7CUhAAmUJzDLLLLHlllvGLbfcEsU6BsX59773vVh55ZXD30Yti05LCbQlgY985CNl4/XWW2/li2bKvqzbUg8kIIFOJjDrrLPG1FNP3clJMO4SkECHEmDxzuyzzx6LLbZY/PCHP4z777+/7El74T8JSEACEpCABNqEQO9FQwV67+W5KZaABDqEwAMPPBDnnntu8FtgpUcqM9jcYostIsuyfqlB6X7KKacEk+X9XvggAQlIoAKBmWeeOY488sgYO3ZsPxc33nhjbLfddu5E70fFBwm0L4EFF1ywbOT4iRdOmSj7stctTb8EeoTAPffcUzalK6ywQll7LSUgAQmMNAFOxDjggANigQUWGOmgDU8CEpCABCQggV4gUEMaVaDXAM1PJCABCYwEgQsvvDAee+yxmHLKKePss88eYB5//PGYc845B0TloosuirvuumuAvRYSkIAEKhFgoqrcJDr10BVXXFHpM+0lIIE2IrDooosGC2JKo/Twww+HCvRSKt3xbCokUA2B1157LRg3lLqdaqqpYokllii19lkCEpBAywjMPffcseaaa7YsfAOWgAQkIAEJSEACRQLtpEAvxst7CUhAAj1NgCOUL7jggvzI1b333js23njjAeYrX/lKrmAvBfXcc8/lyvZSe58lIAEJVCLA8a0TJkwY8JpTLa666qoB9lpIQALtR2C++ebLf3qhNGYozh566KFSa58l0GoChj9CBF566aXgZKvS4D760Y9GpZ9+KHXrswQkIIGRIjBx4sSKQd1+++1x5513VnzvCwlIQAISkIAEJNBIAirQG0ZTjyQgAQk0jsCtt94al112WZx22mm5Eh0lVjlz3333xVxzzTUg4DPPPDOeeOKJAfZaSEACEqhEYIYZZij76pFHHilrr6UEJNBeBFgIs/3228eoUf2HeCzKu/7669srssZGAh1PoHMS8OCDD5ZVoG+55ZYx44wzdk5CjKkEJNATBPhJmoUWWmjAz9Uxv/H5z38+/vOf//QEBxMpAQlIQAISkEDrCfSfXWl9fIxBqwgYrgQk0DYEUJSffvrpMdtss0W5I5WLER0/fnysv/76Rav8niPcf//73+f3/pGABCRQD4GFF164ns/9VgISGEECEydOjA033HBAiCzIe/755wfYD2ZBf4QFeWuttVb897//Hcyp7yQggTYmcOmll8Yrr7zSL4YrrbRSfPGLX+xn54MEJCCBdiCw+OKLx3HHHRfTTTddX3Tok5x00knx6KOPxjzzzNNn740EJCABCUhAAhJoJgEV6M2kq98jRsCAJNBNBDhi8dxzz80V4yjIB0tblmWx6aabBr9hWOru5JNPjuFOlpf64bMEJNAbBJiU+sc//jEgsdQtq6yyygB7LSQggfYkMOWUU8bBBx8c7N4qxpAd6Oeff37RatB76oRTTjklvvSlL+Un3cwyyyyDuvelBCTQngTYscmYoBi7sWPHxiGHHNLRu8+L6fFeAhLofgJ///vf4yc/+UnMPffceb+k+1NsCiUgAQlIQAISaAcCKtDbIReMQ68TMP0S6Efgt7/9bTz22GO5Aj3Lsn7vyj3w24X8hmHpuxtuuCH+8pe/lFr7LAEJSGAAAeqcq6++eoD9FltsEUsvvfQAey0kIIH2JTDvvPMGfQkmmYux/NrXvhYXXnhh0ars/QsvvBA77LBDfOUrX4ltt902fv7znweK+bKOtZSABNqWAAth2LHJyVQpkijPzzrrrFh22WWTldeRJ2CIEpDAMAjw83YbbbRRPPfcc8EGgzFjxgzja51KQAISkIAEJCCB2gmoQK+dnV9KQAI5Af80kgC7zzmu7IMf/GAsssgiVXnNbxeWO2KZSbPDDz/cXehVUdSRBLqLwKuvvhpvvPHGgES9/PLL8eabb/az53nvvfcOfiO1+GLLLbeMww47TMVZEYr3EugQAhMmTIgrr7wyll9++b4Yc4Tz2muvHdttt108/PDDffbphp2q++23X4wbNy6OPfbYvPwfddRR1gEJkFcJtJAA7TpltDQKtPW8K7XHbq+99orddtut7xVji2uuuSZWXXXVPjtvJDB8An4hgeERYKzBGKT0q0r1V3LHd/wEzSc+8Ym+fgv9m6mnnjo58SoBCUhAAhKQgASaSkAFelPx6rkEJND2BNoogvfff39svvnmcd999+W/7cXkdTVHsD/55JP5N+WSctVVV8Wee+4ZTKKVe6+dBCTQXQTefvvtuPfee2PXXXeN//73vwMSd+ONN8YBBxyQK8sff/zxuOiii2LllVeO448/vs/tbLPNFr/+9a/jhBNO6Pfbg30OvJGABDqCwPjx44N+AOWZcp0ifcwxx+S/H8oOLn5HFMM9ivM99tgjllxyybj99tvjm9/8ZowePTp95lUCEmgRARRPLIq95JJLBsTgrbfeyn+24c477wza9TvuuCNYCMNJFPvss0/unvJ/5JFHxs033xyLLrpobucfCfQsARM+YgRY0M8pV4w9GIOUBsxYhTHLPffck9df1GGYyy+/PL7//e/nR7VvttlmwQLA9O1SSy2Vbr1KQAISkIAEJCCBphNQgd50xAYgAQlIYGgCt9xyS8w///z5RHdyzeTX2LFjgwkwBpLJPl0POuigyLIs5phjjvjb3/6WrAdcmTCbddZZ46abbhrwTgsJSKB7CNx9990xwwwzxAILLJAf31wpZYccckigWOOkizXXXDP4DoUZu9T+9a9/5RNYX/ziF1WcVQKovQQ6iAAKcMoz/YjrrrsuvvGNbwSn1nAkO0o5dqIzgU29QR1AfcAOVX4epoOSaVQl0LUE+CkVFrhQPt95552y6TzvvPOCMku7vvjii8eBBx4Y3H/rW98Kyj3lf6eddoppppmm7PdaSkACnUOgU2L61FNP5eONueaaKxh7VIo3Pzmz0EIL5XUW9RZmlVVWiZ/85CeBH8XvqMNKf56m+N57CUhAAhKQgAQk0GgCKtAbTVT/JCABCdRAgN8wZ4V2OcOxynPOOecAX1mVXc59OTsmydtwtfaANGkhAQnUTgClGGW9XB0wmN0zzzwT/Lbg/vvvn+9MQ+FWeyz8UgISaEcClOuPf/zjccQRR8Rdd92V/8RDqhc4QjXVAUxiZ1nWjkkwThLoSQKnnHJKpLJa7fWll17K2/VDDz00KPeU/56EZ6IlIIGWEeDkiwcffLC0/qrrmZ3oyyyzTMvSZMASkIAEJCABCfQeARXovZfnplgCEpCABBpCQE8kIAEJSEACEpCABCQgAQlIQAIS6H4CplACEpCABCQggV4joAK913Lc9EpAAhKQgAQgoJGABCQgAQlIQAISkIAEJCABCUig+wmYQglIQAISkIAEhk1ABfqwkfmBBCQgAQlIQAKtJmD4EpCABCQgAQlIQAISkIAEJCABCXQ/AVMoAQlIQAISaAUBFeitoG6YEpCABCQgAQn0MgHTLgEJSEACEpCABCQgAQlIQAISkED3EzCFEpCABCTQoQRUoHdoxhltCUhAAhKQgAQk0BoChioBCUhAAhKQgAQkIAEJSEACEpBA9xMwhRKQgAR6l4AK9N7Ne1MuAQlIQAISkIAEeo+AKZaABCQgAQlIQAISkIAEJCABCUig+wmYQglIQAJ1EFCBXgc8P5WABCQgAQlIQAISkMBIEjAsCUhAAhKQgAQkIAEJSEACEpCABLqfgCmUgARaS0AFemv5G7oEJCABCUhAAhKQgAR6hYDplIAEJCABCUhAAhKQgAQkIAEJSKD7CZhCCXQ8ARXoHZ+FJkACEpCABCQgAQlIQAISaD4BQ5CABCQgAQlIQAISkIAEJCABCUig+wmYQglEqECvUwrefvvtQX0Y6v2gH/tSAhKQgAQkIAEJSEACEpBAIwjohwQkIAEJSEACEpCABCQgAQlIQALdT8AUNoSACvQ6MT711FMxduzYmHnmmcuaN954IzpBiT777LPHjDPOmJv55psvVlxxxdwstdRS+TU9e53MpdEc7r///lh88cVzs9Zaa8n8PflrNGf9a478yrX9uV511VV5/UI9s+2221rHWMcoA8pAPxnYcMMN++qIf/3rX/3eWce3fx3fK3lkOmuTRcZ4tP+Yvfbay/Jt/a8MdIkM3HbbbX1t9zXXXGO+dkm+2tbV1tbJTW6tkIFlllkmr3vHjx8f55xzTowaNSpGjx4dV155ZZ3aBj+XgAQkIAEIPPfcczHNNNOU1bsmfewTTzwRzfynAr1OuuPGjQsy8plnnolyhgym8awzmBH5/IUXXggMgV199dWBKd7zrJnMpdEcxowZE7fffntunnzyyZx9o8PQv+bknVzl2gkyMMMMM+T1C/UM9U0nxNk4WraUgZGTgddff72vjph++unth7zXD1YGR04Ge4B1y8oVY1Taf4zlW5m2rHWPDBT79yyUMW+7J2/NS/NSGegMGXj00Ufz/t2DDz6Yb55755138uuHPvQhptM1EpCABCRQJwE2Lr/66qtl9a6MczFzzDFHnaEM/nmNCvTBPfWtBCQgAQlIQAISkIAEJCABCUhAAt1AwDRIQAISkIAEJCABCUhAAhKQgAR6i0BvKtB7K4+rSu1iiy0W7ErEfPazn43nn38+N+edd15+Tc9eJ3NpNAd2gyRz/vnny/w9+Ws0Z/1rjvzKtf25nn766X31inVM++eXZco8GmkZ4JjBFOZZZ53VV18kO6/KpDLQuTJw00039ZXps88+u+++p/LUsYX53oUycOaZZ/bla7Gvb9nu3PravDPvlIHOkoG///3veT38yCOPxI033hh33XVXbpZccsmq5uJ1JAEJSEAC7U9ABXr759GAGDbDYuqpp46XXnopN7POOmtwHBhmrrnm6rvnWTNDU3jA/8UXXwwMPwsg5+Zwlqtce1UGinV58b5XeZhu6wJloL8MFOuF4r2c+nOShzw6UQaKZbp434lp6dU4m27rnnIyUCzPxftybrVThpQBZUAZaLwMpLqX61JLLRULL7xwbnhuxty9fkpAAhKQwMgTUIE+8sx7PUTTLwEJSEACEpCABCQgAQlIQAISkED3EzCFEpCABCQgAQlIQAISkIAEOpKACvSOzDYj3ToChiwBCUhAAhKQgAQkIAEJSEACEpBA9xMwhRKQgAQkIAEJSEACEpBArxJ8GSYXAAAQAElEQVRQgd6rOW+6e5OAqZaABCQgAQlIQAISkIAEJCABCUig+wmYQglIQAISkIAEJCABCUigZgIq0GtG54cSkMBIEzA8CUhAAhKQgAQkIAEJSEACEpCABLqfgCmUgAQkIAEJSEACEpBAKwmoQG8lfcOWgAR6iYBplYAEJCABCUhAAhKQgAQkIAEJSKD7CZhCCUhAAhKQgAQkIIEOJ6ACvcMz0OhLQAISGBkChiIBCUhAAhKQgAQkIAEJSEACEpBA9xMwhRKQgAQkIAEJSEACKtCVAQlIQAIS6H4CplACEpCABCQgAQlIQAISkIAEJCCB7idgCiUgAQlIQAISkEADCKhAbwBEvWgPAi+//HIcccQRMfvss8f555/fHpEyFhKQgAQaQEAvJCABCXQygZtuuimmm266yLKsajNmzJiYZ555YqONNorTTjstnn766aYjePLJJ2OxxRYrG8eJEyfGSy+91PQ4jGQA9J033njjsunNsizmnXfeePzxx0csSoRFmFlWnZwgU8hWMYLkEXmVZeX94B1uit/Ueg+/9dZbryw/0kF6avXb7yQgAQlIQAIS6F0CplwCEpCABCQggfYgoAK9PfLBWNRB4OGHH44ddtghZphhhth5553jqaeeqsM3P5WABCQggQYT0DsJSKDHCSy11FK58vmee+6JddddtyyNLMvi1FNPjTfeeCNefPHFOProo3Ol+TnnnBObbbZZzDrrrLHNNtvEM888U/b7RliyCPO2226LH/zgB43wru39QAF91llnxVtvvRXHHntsrghuZaTnnHPOuO++++LPf/5zzD333GWjkmVZ/OIXv8jlBAU2slV0yMKLyy+/PH9/wQUXxNixY/PXiyyySNxyyy1x2WWXBW5yyzr/wO/cc8+NX/7yl3X65OcSkIAEJCABCUigawiYEAlIQAISkEDXEFCB3jVZ2VsJeffdd+P666+P1VdfPd+dxCTrO++801sQTK0EJCABCYwAAYOQgAQaQSDLslhggQVi//3371NqFv1FEbr22mvHlFNOmSs4N9988zjppJP6KXVPOOGEWHnllePBBx8sftrQ+9GjR8cGG2wQ00wzTUP9bWfPSPM666xTUWk9knEnLquttlocfPDB/fI+3vtHviyzzDK5nLxnVfaCHH3yk5+MJZdcMqaddto4+eSTY8KECWX9LOtBlZZZlsWqq64ac801V5Vf6EwCEpCABCQgAQlIoH0JGDMJSEACEpDA+wRUoL/PwrsOIPDmm2/GGWecEQsuuGAst9xycckll3RArI2iBCQgAQlIoEUEDFYCbUZglllmyU8NKo0Wu3lRehbtWSiJYr1o989//jP23XfffNd00b6R96NGjWq4orWR8esFv9ZYY41YdtllByT1lVdeCU4yGPCijMVrr72Wn0zFqQelclTGec1WKP0xNXvghxKQgAQkIAEJSEACEmgEAf2QgAQkIIGGEhjVUN/0TAJNJnDFFVfENddcE+eff36gTPfIxCYD13sJSEACEpBACwkYdG8TmGmmmeIjH/nIAAgXXnhhPPTQQwPstegeAjPOOGN8+ctfLpsgdpO/+uqrZd8VLW+88cZc2b7FFlvEFFNMUXzlvQQkIAEJSEACEpCABCTQZgSMjgQkIIF2I6ACvd1yxPgMSoAjEo888shYdNFF84kwjvEcN27coN/4UgISkIAEJCABCbSAgEE2gEA5BfoTTzwR9913XwN814t2JrDWWmuVPRr9sssui1tvvXXQqL/11ltxyimn5KdWLb300oO69aUEJCABCUhAAhKQgAQkIIE6Cfi5BCTQhQRUoHdhpvZSkvgdxKmmmqqXkmxaJSABCUhAAhKQwAgQaN8g3n333ahmB3L7psCYVUNg/PjxsdVWWw1w+sYbb8Tpp58eyMGAl+9ZPPzww3HVVVfFxhtvHLPOOut7tl4kIAEJSEACEpCABCQgAQlIYCABbSQggXIEVKCXo6KdBCQgAQlIQAISkIAEJNCWBDiOm+PdB42cLzueQJZlsckmm8TYsWMHpOXcc8+NBx54YIB9suCY/5dffjk22mijZOVVAhKQgAQkIAEJSEACEpCABLqRgGmSQJMIqEBvEli9lYAEJCABCUhAAhKQgATqI3DPPfcM8IBj3fk5nwEvChbsUP/1r38dyy23XHBaUZZlMXr06FhiiSWC39BGuRoN+Ic/Rx11VCy22GKRZVluFlhggfjmN78ZF198cey6665x0EEHlQ3p8ccfjwMOOCBwn2WTv82yLI/vhAkT4thjj40XXnih7Le1WBLed77znZhjjjnyeI4ZMya22WabeOSRR2rxLu6+++74+te/3udflmUxfvz4+MlPftKweC+yyCKxxhprDIjfo48+GijJB7yYZPHSSy/F2WefHSussELOdpLVoP+RFdyvtNJKOfssez8v5p133th5553jP//5z6B+DPclu+evv/76+MIXvhAzzzxznh9ZluVH1pNH7KAv5+ftt98es88+e5/7LHs/rltssUX+ydtvvx2/+c1v8rwYNWpULptXXHFF/q70T615SPz/8Y9/5PFHjrIsC6783BZye8kll8TEiRMDmSsN02cJSEACEpCABCQgAQlIQAISeJ+Ad+1LYFT7Rs2YSUACEpCABCQgAQlIQAK9SuD555+PO+64o1/yUQjuueeeMcsss/SzLz6gLFx88cVj0003jXvvvTdOO+20eOyxx+K8887LFXocC/7BD34wLrjggkGPAY8h/t15553B72vvtNNOMeWUU8aVV14ZKD5/+MMfBjukUfweeOCBA3xB+Xj00UcHytk99tgjvvrVr+bfEcczzzwzZpxxxrjtttty5fTcc89ddzwJ76yz/p+9+4B3mur/OP4LoCxBxAWCiAqK4kD/7r334MGFG8WBE30UEfVRcS8cIA5coKK4EDdOluJWxAFupiyVIUsQ+PM9kJrmtve2vW1vm354kSY5OUnOeSdNe/PLOX3OtL8777zTpk+f7sqk4P/DDz9sm266qb3yyisuLZWXxYsXW9euXU3BbQVLFSj94Ycf7LvvvrNmzZq5ZRtvvLF9+OGHqWyu3DzqbUCBYc/zyuTTcdU5El6gIPMnn3xiJ598stWqVSu8OG5+1KhRpnNFXb0rkC13HQel77HHHjZhwgS75557rGXLltalS5es/HTA1KlT7aijjnIPd+h4n3XWWabW9PLTgyE6RnJMtD+VVUHp66+/Pq4e/oyOaYcOHeyEE06w8ePHu/P722+/tbZt29qXX37pZ7PKHEOte+ONN9rWW29tOq9UTpX/gw8+ML2v9FDFAQccYL/++mtsf0wggAACCCCAAAIIIIAAAgjkS4D9ZEuAAHq2JNkOAggggAACCCCAAAIIZEVAQd/XX3/dFAj1N6ggda9evaxdu3Z+UpnxCy+8YPvss48LnGvhXXfdZccee6w1btzYDj30UNO80tWy+8gjj7SBAwdqNu3hjz/+MAV2x44daw0aNLAnnnjC1IK5adOm1mF5AFPByr333jvhdrVPBd0ViFSgUS2ctZ7KqLJqW563ImDsl/Odd95JuK1UErU/tXTW/vz855xzjin4rN8TVxBcQVAFi/3lycbaxnnnnedamSuPH5RXgFnBX7W2V4v/33//3Q455JC4oK3yZzLsvPPOtsMOO5RZVedGOEiv86Z///7uYYFk/v6GFGCWtx6y0DFUUFh10HFQcPjZZ591Dwn4+e+44w7Xo4D24aelO9Y+FZh/8cUX3aoK3CsYLkft+4EHHnDnqhZqf+rJQOaa9wf1pHDwwQdbnTp1/CQ3/vvvv+3iiy+2ESNGxLbhFix/mTVrlg0ZMmT5lLngeWWOoYL+evBDG9N5pAdaVH6Z9evXzwYMGGB60EXLGRBAAAEEEEAAAQQQQAABBBBIS6CAMhNAL6CDQVEQQAABBBBAAAEEEChlAXW/rVbACk6rFa2ClQrGnX766fbLL7/Yueee67qvTmSkoPUZZ5xhS5cudYsbNWrkuvF2Mytf1K230jWrfMqvQKzm0xnURfWnn37qVqlbt64LoruZlS9qzdynT58ygUzVTw8BaN/K+tZbb5m2pWl/UHfwasnrzyvv3XffbQsXLvSTUh6rRfzll18eM9GKe+65pwuA169f37WcP+mkk0xl9bwVQXvlSTa88cYb9sgjj8QWqwW+uoT3ExRIV5f0mlfQVt25//PPP5rNeFCLfJUxvAGdGwrYBrev1uPqWUAPWQTLFV5X8wr0+j8RoLL27t3bgttSV+nbbrutssYGPdyghyZiCSlOKJuOvbrM9/epND3EoQdDNK2hefPmcefsQw895B76UF21vLxBAX+9V7T9kSNH2kYbbRSX3T+nKnMM9dCFfrLA37C26Xn/njee57kHVq644go/C2MEEEAAAQQQQAABBBBAAAEEilIgkwB6UVaUQiOAAAIIIIAAAggggEBhCgwbNszq1avnhjZt2rgW3SqpgtPq4lqBx/IComqle/PNN5sCoVpPgwK5a6+9tiZjg+aV7icov1oA63ew/bRUxgpQ+vn0e9xPPfWU6y7bT9NY3ZgrkKtpf/jrr7/iurZWcFwtwIPBcbUw1uCvo7GCtgpeajqd4aWXXirz+92y1O9VB7ejVtHqLj6YFp6WkbqeV5n9ZQowq5t1f15dpsvYn9cDAgro+vOZjtV7QJMmTcqsPnjwYJONv0Ctr9VF/WGHHeYnJR2ry/TgQgWgg2X1PM+CdVPeP//803W3rul0B3XrH3xYonbt2rbJJpvEbUb7k2kw8fbbb3fd4wfTEk3rQYPzzz/fPRTRfHkgXg8vKKCuvAcddJCp1XqGx9B8Fz2g4E9ru3379nVdxWvaHzzPs+OOO86C54G/jDECCCCAAAIIIIAAAggggAACxSJQggH0Yjk0lBMBBBBAAAEEEEAAgdIQUKtoBZfV0lbdfz/22GPu97T1m87q1lrdeCtAqGCigoBhldGjR9trr70Wl1yzZs0yXUmrta9aXgczvvfeeykFKIPrzJ8/Pzjrfvdbv2s9adKkWLrneaZuuNVdtp+orsLVVbc/r7HKo8CpppMNahkdDFwnyxdMV4vn559/PphkiYK2cRnKmVHAWQHqYJZwoD+4TNMKOI8ZM0aTlRoUED7ttNPKbGPWrFnm11HnRd/lAV09DKCHMMpkDiVsv/32cSmy0QMAcYkJZnQsEiSXm6Rjod+bD2bSMVd398E0Ta+55poaxQa9H9SqPpaQZEI9F6grdX+xzkc9dKH19XMIev9U9hiqy389rOLvQ8H0rbbayp5++mlbsmSJn2ytW7d2PSuoFX8sscom2DECCCCAAAIIIIAAAggggAAC6QsQQE/frGrXYO8IIIAAAggggAACCERYQAHEDh06mLpk33vvvWM1VYD0sssuMwVIg4FqZfjss88sHNRWi2W1YNdyf1CAdK211vJn3VjraX03k+JLsFz+Kvpda7XiVqvz77//3iVrSfgjqgAAEABJREFUf8HW3grSqmXwrrvuaipH+/btXRfdCqa6FbL4ou7bv/7667gtav/B8sQtrGBGLb1lFcymBxcUwPYHtQgPB/q1XnCdTKY9b0WrZj2AEF5fv8k9bdo002+Zf/zxx3byySe7BwXC+cLzyqff8NZx2GabbUy/nb7hhhuGs2VlPtGxWGONNSxRgFndood3Onz48Aq78NfDDJ73b3fq2oaOtd5PnrciXceiMsewWbNmtummm2rTsWHOnDmmn1vQb8c/+uijpvep53mm+qlMsYxMZCbAWggggAACCCCAAAIIIIAAAlUiQAC9SthLd6fUHAEEEEAAAQQQQACBVAQaNmxoPXv2tHDQVMFuBT4VqPO38+233/qTGY3TXX///fd3rWwT7UyB9FatWrnfglYL7HAetdh9//33bcaMGa7lbqNGjVzrXbXUvuiii2zzzTe3CRMmhFdLe/6PP/4wBTeDKyqgGvYMLi9vOvzQgvKq6/pjjjnGgkO4lbr/MIHyV2aQqboiD29D29fDFgri64GJXXbZJZwl4bxaZKtLeh2HL774wtQLgjIqGK9u9bW/xx9/XEmVHtTN/8yZMzPezrhx40yt2DPewMoVK3sMFRTv2LHjyq3Fj+SoZTqf1WJevUnE52CuFAWoMwIIIIAAAggggAACCCBQrAIE0Iv1yFHuqhBgnwgggAACCCCAAAJ5FGjRooUlCoiqu/Zhw4bFSqKuqmMzGUyku75aDj/33HOmIGuy3Wn5TjvtVOY3ooP5p0yZYpdccolrja7A+ciRI+2WW26xRK2Qg+ulMq2AbSbdjSfbtrrrDi875ZRTTIHS8oZ+/fqFV8toXq30Tz31VPO8Fa2p/Y1o3zfeeKM98cQT1rZtW1N37/6yVMd6GEPBch3PRo0a2f/+9z87/fTT7bDDDkt1E+Xm0/ZVznIzlbNQwfNg1+nlZC13UTaOoYLk119/fdL96KGNww8/3PRzC5Wpc9IdsACB/AmwJwQQQAABBBBAAAEEEChhAQLoJXzwqXqpCVBfBBBAAAEEEECguATUBXqbNm3KFFqBuWBLZ7UmLpMpjYRM1t9ss81MXYZfcMEFVq1a4j+rFLA8//zzXbfWweJMnTrVTjvtNBcov/POO03B4bfeestt74gjjnDzwfyFMN2yZcsyxZg3b55lM0hfZgehhJ133tl22GGHUKqZWvSr1b66xPe8+AB7mcyBBAWl7733XlPQXMF5tWbv3r27e+hBPxegXhAC2TOeVNf5npd6ucI7Us8Bq6yySjg57flsHEOV48orr7R3333X9MBBskJ069bN3nnnnWSLSUcAgZwLsAMEEEAAAQQQQAABBBCojEDiOz2V2SLrIoAAArkQYJsIIIAAAgggUJIC9evXT1jvYHfUrVu3Tpgn1cRM11fZ1M389OnTTQFXBUrD+3zvvffsu+++iyWPGjXKBYH79u3r0hR8V1fo6hbe8zIPsrqNBV7Uir1OnTqBFLNFixaVCebHZShnJlHX7+PHj7e//vqrnLWyu0gPOpx00kkJN/p///d/tuWWWyZclihRvQ6ccMIJpgcg1GpaeTp37uxanyc6jlqe6dCkSRNT9+eZrt+8eXNTED3T9f31snUMPc+zffbZx7755hsXSN9+++39XcTGS5cuNZ3XetgllsgEAgggkKoA+RBAAAEEEEAAAQQQqGIBAuhVfADYPQIIlIYAtUQAAQQQQACB7ApsuummsQ1ut912Fg4Wq2V0OHinNLWajq24fELraf3lkyn//+9//2sDBw6M5V9zzTXt1ltvNbUsP+ecc2Lpmpg/f7799ttvmjQF/Y8//nibOHGim9eLAue77babJrM6NGrUyNZee+24bSpo/Mcff8SlpTqjhwzUUj6YXw8G/PLLL8GknE8feuihpoB0eEcKrCvAHk5PNK/z4PLLL7fnn38+tljB5TPOOKNMF/GxDJWYWH/99csE95csWWIawpv1g/nB9D322MNq1aoVTMpourLH8OuvvzY9dKDzSAWoXr26C6SrJwa1SFc9le4Pv/76q4Xfb/4yxggggECUBagbAggggAACCCCAQPELEEAv/mNIDRBAAIFcC7B9BBBAAAEEqkRAAfDRo0eX2feqq65qe++9dyx98803d4G8WMLyicmTJ5cJ3i1cuNB+//335Uv//a+WtFr/35SKpxSEfu6558p0X64W6b1797abbropthHP88xv0fzaa6/Z2LFjY8s0se6668aWaz5bg7arLs+D21uwYIH98MMPwSQ3rUCuBjeT5EWtu9XKO7hYDweoC3R1hR5M96cHDRpkN954Y8JAsZ8n3bFaY6v7++B6eljgkEMOCSaVO62u9Z999tm4PDp2ehAiLjFLM2o93r59+7itzZw506ZNmxaXphk9ZKGxP6y11lp22GGH+bOVGlf2GKoHg6FDh8b1qKACed6KFunDhw+3jTbaSEluqFu3bkH+HIErHC8IIIAAAskESEcAAQQQQAABBBBYLkAAfTkC/4tXQDf6NBRvDSg5AgjkXoA9IIAAAggUq4Babn/wwQdlin/qqadasNW4AtT/+9//TK2I/cw//fSTzZo1y591Y3W1/v3337tpvSi/1tP6mk9nUAv0Dz/8sMwqnufZAQccEGsR36xZM9tss81cvpEjR7px8EUBfQX2/bS5c+dm3M26vw2N1Vr83HPPNT1soHl/UKvrYMBbDymoq209cODn0VjfsTVoWoNad59//vmajBv69etnvXr1iguSa7177rnH1BpfLezVUjlupUrMeJ5nxx13XNyx3muvvUzOqW5W58aff/4Zl13uwfNFRolag8etlMaMeh7Yd999Y2vo4YPx48fH5jWhlvGffvqpJmNDly5dLN0HPGIrhyaycQzV+vyuu+4y+YQ2b3q4IdibQrZazof3wzwCCCCAAALJBViCAAIIIIAAAghkR4AAeiUdJ0yYYI0bN046qJVHJXfB6uUIjBs3LmHLDXUnWc5qLEIAAQSKR4CSIoAAAhES0HdjtWINV0ndPIcDcprv3r27hYOMHTp0MAXwVllllbjNbL/99vbAAw9YtWor/sRRQFitZYOZFMBWN+tKU76HH37YdthhB83GhqVLl5qCyrGE5RMKCIfTVI+OHTuagrHLs8T9HzNmjClAqsSTTz7Z1ltvPU1a06ZN3Tj4MnjwYHvxxRdda/b33nvPFGSdMWNGMIsLTqsMwUB7XIYkMwpmKogdXDxo0CC74YYbXJBeLenPO+88u+qqq6xmzZrBbCa/Bx980BQw9RcocH3mmWf6s24sl0suucQFsPVggwb9faRu7tU6PezrVqrkS6tWreyggw5yW/E8z7RPPTDgElJ4WWONNcq0jFZA/Y477nC9FqgV+NFHH22yCm9O56UGHQ8t01iDpv1B8xr8eY0VvNb52bJlS826YcCAAXGBaP1to3PULVz+IuuLL744pW7lE72Hlm+izP9sHEP1viCrcB11Punc1051Dhx11FGaZEAAAQQQQACBVAXIhwACCCCAAAJO4K+//nIPzutvy2SD7lu4zDl6WXF3KUcbL4XNqqXDlClTLNmQSWuWUnDLRh31m3pXXHGFu9kY3l6fPn1s1KhRZW5+hvMxjwACCCCQWwG2jgACCEhAgbaff/7ZunXrZn4AW+n+8Nlnn7luzxUs1/dqBZXVevWhhx7ys9jaa69taimtoLe6ho4tWDnheZ4de+yx9tJLL5m641aygo/qqlvbVPfpmle6litfu3btNBsbFBjVPhXojyUun/jiiy8sUVfy6gpc3Zqry3ZNK/Cq9c8+++zla5kpCHvppZfGAqDqijvcIlwB+xNOOMH0QICC5woGK/DtNrDyRX8Uqvvtgw8+2NJpFe15nt18883ml2fl5uy6665zLeTVPbiCoTLaaaed/MWxsQLtejDh66+/dmkqo1qW+44uceWLegt4/PHHTcPff/9tr776quUqgKpguZw8zzP577jjjitLkdpIllovnPvRRx81dbe+/vrrmx5W0LEL52nfvr1raa1zVg8P6JzU8Qnmk8WIESPK/C3SokULe+utt8zvWl/26gFB570Cz506dXJ/V2pb2resZa55f9A5+vrrr8ce0PDTdY5q2yqTn5ZorO1pu5U9hvo7TOej3qt6f3311Vd2yimnmFrQ16lTx/Q+UH0TlYE0BBBAAAEEEIimALVCAAEEEEAgWwL16tVzvQrq781kQ5MmTbK1u4TbIYCekIXEQhV45513XOsW3XjU7+vpxlSisv7yyy+2zTbbuJYlW2yxhfk3/RLlJQ0BBBBAAIEkAiQjgEAWBD7//HMX0FYwTYHaZJtUi9bmzZu71toKzKmr9a233toUqFPvQvqDSd1gl9cduOd5piC1ApiPPfaY6yVK66gF+BFHHOHmla7lyud5Xqw46t5d3x8V+IslrpxQa3IFtTt37uxS1Hr91ltvNT0RrYD+8OHD3XdPBV7POuss0/iZZ54xtTBWy2O30vIXBal79OgRayW/PCn2X62q1WL++uuvd12fxxasnJCfyq7g/8qklEZ6oPf++++3YcOG2YEHHugC9VpxnXXWscsuu8z0YMN+++3nyqyy6xipJbTqpmDsDz/8YAo4ax0N2p7q8O2331qHDh1MrbmVrmHjjTe2q6++2iZOnGg6hkrL1aAgtFq3H3rooXFlSGV/OiZqDa7jFM6v+ulc1AMAar0fzqMAtDxbt25tbdu2ta5du4Y34QLneihCDxCoZXgwQ/Pl57j+htFPE6jsaqWvNHXTriC6Wu6rl7Pbb7/dVJbguvqbRjcIZBxM17QexFBwXz0JqG5KSzZou5keQ/1tpQeZ9f7U+0Xd+uv91aZNG3v77bftjDPOMC1T3ZLtn3QEEEAAAQQQQKAABSgSAggggAACcQIE0OM4mCl0Ad3c0w0ldZmpG3oVDWrt9M0338Td9Cv0OlI+BBBAAAEEsiPAVhAoDAG19FUQsaLvbeHl6lJbPQrdeOONttlmm1l5gfNwTdVCvcPy4K5ajev7oLatseaVruXhdRRQ1vdG5U02qOWu1lMgW8FntVY+5phjTK1w586d6wKnWnfs2LGuNXy4zJ7nmQKOClAryKkuunv37m16QED73nPPPbV5U9BfLZy7dOniAtIKuH700Ueu5bPLkOaL53mmFv0qp/89etq0aaaHABSQVz2eeOIJU5ftqs8GG2zgWmIn243neaaArxx0nFRnDerOvnv37u6BiWTrZitdQXCZXHvttRltss3ygK8C1i+//LJdcMEFznnIkCGm+qhLegXK9cDuxx9/bAqoK48eLtCDHHoYQ2bqxUD1TjYMHDjQEp1rOi922WUX10o/eN6oJbsC2+GgvV9BPcigBz2S7U/pOr6dOnXyV0k69rz0j6Hey/Jo3ry5bbLJJu780THXfjVo33oAJdFPFSQtCAsQQAABBBBAAAEEsiDAJhBAAAEEsi1AAD3bomwPAQQQQAABBBBAoFcmdfgAABAASURBVPICbAGBCAsoQKpu1fWzQ+eee26ZBwQ8z3Ndk992222mgLRavyvoGmGSKqmagtuHH3649ezZ0znvtddeVqtWrbiy6LfWFFBXHj1coAcO4jIwgwACCCCAAAIIIIAAApUTYG0EEECgAAUIoBfgQaFICCCAAAIIIIAAAsUtQOkRQAABBBBAAAEEEEAAAQQQQCD6AtQQAQSiKUAAPZrHlVohgAACCCCAAAIIIJCpAOshgAACCCCAAAIIIIAAAggggED0BaghAggkESCAngSGZAQQQAABBBBAAAEEEChGAcqMAAIIIIAAAggggAACCCCAAALRF6CGCOROgAB67mzZMgIIIIAAAggggAACCCCQngC5EUAAAQQQQAABBBBAAAEEEEAg+gLUsKAFCKAX9OGhcAgggAACCCCAAAIIIIBA8QhQUgQQQAABBBBAAAEEEEAAAQQQiL5A1GtIAD3qR5j6IYAAAggggAACCCCAAAIIpCJAHgQQQAABBBBAAAEEEEAAAQQQiL5AhTUkgF4hERkQQAABBBBAAAEEEEAAAQQQKHQByocAAggggAACCCCAAAIIIIAAAtkQKOwAejZqyDYQQAABBBBAAAEEEEAAAQQQQKCwBSgdAggggAACCCCAAAIIIIAAAgUiQAA9hweimDY9f/5823PPPd3w9NNP24UXXsiQR4NJkyY5ex2DSy65BPs82nOu814vlXPgwAMPdNeWdu3auXGp1Jt68h7nHEj9HOjUqZMdfPDBXCP4HsI5ELFz4Mgjj3TH9JBDDnFjroupXxfTsSIvrvk+B8477zz3nt57773dON/7Z3+c85wDnAOlfA7oXm4x3funrAgggAAC6QsQQE/fLJJr1KlTx4YNG+aGJk2aWK9evRh69cqbQc2aNZ29jsHw4cPztt9eeawj+8rf+YQ11onOAT0opfRx48ZxjeHaxznAOZDwHOjfv7/Nnj074TJdPxj4fOEcKM5zYMqUKe59PXPmTDfmOBbncczxcePcKMLvBo888og7bsuWLXNjzhHe25wDnAOcA/k7ByIZIKBSCCCAAAJxAgTQ4ziYiY5A8dZkxIgRpkAXw3wc5mPA+yB758BLL73k3lPvvPOOG2ObPVsssYzKOTB+/Hh79dVXuUbw+cs5ELFzYPDgwe6Yvvbaa24clWsW9eDz999zoDQtpk2b5t7TAwcOdONS96D+pfk+4Lhz3KvqHFhzzTWL9+YzJUcAAQQQSEmAAHpKTNHPNGfOHNt1113dMH36dDvhhBMY8migL3u+/6xZs6x27dpWmwEDzgHOgSyeAw0bNnSe/phrDNdZzgHOgfA5oOuDhnA685wrnAPFfQ7472t/zPEs7uPJ8Yvg8cvwO//qq6/O9/sM7Xgf8T7iHOAcyMY5EP2IATVEAAEESluAAHppH/9Y7evXr28ffPCBG44++mhTF54M/fPmsMEGGzh7HYNGjRrFjkuxTlBuBBBAAAEEEEAAAQQQQAABBBCIvgA1RAABBBBAAAEEEEAgigIE0KN4VKkTAghURoB1EUAAAQQQQAABBBBAAAEEEEAg+gLUEAEEEEAAAQQQQACBhAIE0BOykIgAAggUqwDlRgABBBBAAAEEEEAAAQQQQACB6AtQQwQQQAABBBBAAIFcCRBAz5Us20UAAQQQSF+ANRBAAAEEEEAAAQQQQAABBBBAIPoC1BABBBBAAAEEEChgAQLoBXxwKBoCCCCAQHEJUFoEEEAAAQQQQAABBBBAAAEEEIi+ADVEAAEEEEAAgWgLEECP9vGldggggAACCKQqQD4EEEAAAQQQQAABBBBAAAEEEIi+ADVEAAEEEEAAgQoECKBXAMRiBBBAAAEEECgGAcqIAAIIIIAAAggggAACCCCAAALRF6CGCCCAAAII5F6AAHrujdkDAggggAACCCBQvgBLEUAAAQQQQAABBBBAAAEEEEAg+gLUEAEEEECgKAQIoBfFYaKQiQSWLFli7733nu22225WvXp18zzPVl11VTvooINs+PDhtmzZskSrkYYAAggggAACWRZgcwgggAACCCCAAAIIIIAAAgggEH0BaogAAgiUikC1Uqko9YyWwOzZs619+/a277772gcffGBLly51FVy8eLG9+eabtueee9rpp59u8+bNc+m8IIAAAggggAACSQRIRgABBBBAAAEEEEAAAQQQQACB6AtQQwQQQCBlAQLoKVORsVAEFDw/6qij7Pnnny+3SH379rWLL77YFFQvNyMLEUAAAQQQQACBohWg4AgggAACCCCAAAIIIIAAAgggEH0BaogAAvkUIICeT232VWmBf/75xy6//HJ79913U9rWI488YkOHDk0pL5kQQAABBBBAAAEE8izA7hBAAAEEEEAAAQQQQAABBBBAIPoC1BCBIhMggF5kB6zUiztkyBDr06ePtWnTxgYNGmS//fabTZw40R5++GGrX79+GR517f7UU0/ZsmXLyiwjAQEEEEAAAQQQQACBygiwLgIIIIAAAggggAACCCCAAAIIRF+AGpaeAAH00jvmRVvjBQsWWM+ePe2EE06w999/34488khr3LixNW3a1Dp27GijR4+2li1blqnfN998Y7NmzSqTTgICCCCAAAIIIIAAAiUsQNURQAABBBBAAAEEEEAAAQQQQCD6AtQwAwEC6BmgsUrVCIwaNcq1Nr/++uutbt26ZQqxwQYb2HXXXVcmffr06bZw4cIy6SQggAACCCCAAAIIIIBAsQpQbgQQQAABBBBAAAEEEEAAAQQQiL5A1dSQAHrVuLPXDATWWmste+KJJ6x58+ZJ195tt92sSZMmcctr1Khh1apxqsehMIMAAggggAACCCCAAAJVJ8CeEUAAAQQQQAABBBBAAAEEEECgYAWyFlUs2BpSsMgIqHv2Lbfcstz6NGjQwFq0aBGXp1WrVrb66qvHpTGDAAIIIIAAAggggAACCCCQmQBrIYAAAggggAACCCCAAAIIIBBlgWpRrlwadcso69KlS03dgytom2xYsGCBLV68OKPts1L6AsuWLbMlS5bErbjHHntYrVq14tKYQQABBBBAAAEEEEAAAQQQKEkBKo0AAggggAACCCCAAAIIIFDAAn///betttpqliz2Wr9+fZsxY0ZOa0AAvRK86ha8Xr16NmvWrKSD8qyyyiqV2Esqq5LHF9Ab5qeffvJnrXHjxnbUUUfF5plAAAEEEEAAAQQQQAABBBBAoHgFKDkCCCCAAAIIIIAAAgggEG2BmjVr2ty5c5PGXufMmWMNGzbMKQIB9Ery1q5du9wt6CCXm4GFZlk0+OSTT2zq1KmxLV5wwQW28cYbx+aZQAABBBBAAAEEEEAAAQQQQACBKhJgtwgggAACCCCAAAIIIIBAFgSqV6+eha0k3wQB9OQ2LCkyAXWX379//1ip9913Xzv33HPN87xYWi4m2CYCCCCAAAIIIIAAAggggAACCERfgBoigAACCCCAAAIIIIBAaQgQQC+N41wStXz//fft9ddfd3Vt2bKlPfLII7b66qu7eV6SCrAAAQQQQAABBBBAAAEEEEAAAQSiL0ANEUAAAQQQQAABBBBAIEUBAugpQpGtsAX++OMPu/LKK23p0qWm4LkC6RtssEFhF5rSZUGATSCAAAIIIIAAAggggAACCCCAQPQFqCECCCCAAAIIIIAAAvkTIICeP2v2lCOBZcuW2d13322ffvppLHjeokWLHO2NzSKQRQE2hQACCCCAAAIIIIAAAggggAAC0ReghggggAACCCCAAAJFJUAAvagOF4VNJDBw4EC76aabrHXr1vb2228bwfNESqQhkH0BtogAAggggAACCCCAAAIIIIAAAtEXoIYIIIAAAggggECpCRBAL7UjHrH6jh8/3rp162bbbrutDR482JJ12/7yyy+74HrEqk91EEAgcwHWRAABBBBAAAEEEEAAAQQQQACB6AtQQwQQQAABBBBAIG0BAuhpk7FCoQjMnj3bOnbsaI0aNbJXXnnFmjZtmrBoynfHHXeY53kJl5OIAAIIFJ8AJUYAAQQQQAABBBBAAAEEEEAAgegLUEMEEEAAAQQQqAoBAuhVoc4+Ky2goPgZZ5xhS5cutUGDBrkgeqKNzps3zxQ8/+mnn2yjjTZKlIU0BBBAAIF8C7A/BBBAAAEEEEAAAQQQQAABBBCIvgA1RAABBBBAoEgFCKAX6YEr5WIvXrzYunTpYs8//7x988031qZNG2vWrFmZYb311rPVVlvNbrjhBtt4441t7bXXLmU26o4AAgggkCUBNoMAAggggAACCCCAAAIIIIAAAtEXoIYIIIAAAqUrQAC9dI99UdZcwfMbb7zRHnroIVf+GTNm2MSJExMOU6ZMcXn0ss0221i9evU0yYAAAggggEApC1B3BBBAAAEEEEAAAQQQQAABBBCIvgA1RAABBBCohAAB9ErgsWp+BZYtW2Z33XWXde/ePe0d77jjjmmvwwoIIIAAAgggUGgClAcBBBBAAAEEEEAAAQQQQAABBKIvQA0RQACBqhUggF61/uw9RQEFz3v37m3dunVLcY1/s9WuXds22WSTfxOYQgABBBBAAAEEqkKAfSKAAAIIIIAAAggggAACCCCAQPQFqCECCBS9AAH0oj+EpVGBqVOn2u23325Lly5Nu8KNGze2Zs2apb0eKyCAAAIIIIAAAgj8K8AUAggggAACCCCAAAIIIIAAAghEX4AaIoCAGQF0zoKiEFAQfPz48aaW6OkOP//8s6277rpFUU8KiQACCCCAAAIIIJATATaKAAIIIIAAAggggAACCCCAAALRF6CGCGRFgAB6VhjZCAIIIIAAAggggAACCCCQKwG2iwACCCCAAAIIIIAAAggggAAC0ReghoUiQAC9UI4E5UAAAQQQQAABBBBAAAEEoihAnRBAAAEEEEAAAQQQQAABBBBAIPoCEaohAfQIHUyqggACCCCAAAIIIIAAAgggkF0BtoYAAggggAACCCCAAAIIIIAAAtEXCNaQAHpQg2kEEEAAAQQQQAABBBBAAAEEoiNATRBAAAEEEEAAAQQQQAABBBBAIE2BIgygp1lDsiOAAAIIIIAAAggggAACCCCAQBEKUGQEEEAAAQQQQAABBBBAAAEE8i9AAD3f5uwPAQQQQAABBBBAAAEEEEAAAQSiL0ANEUAAAQQQQAABBBBAAAEEilKAAHpRHraqKzR7RgABBBBAAAEEEEAAAQQQQACB6AtQQwQQQAABBBBAAAEEEECgVAUIoJfqkS/NelNrBBBAAAEEEEAAAQQQQAABBBCIvgA1RAABBBBAAAEEEEAAAQQyFiCAnjEdKyKQbwH2hwACCCCAAAIIIIAAAggggAAC0ReghggggAACCCCAAAIIIFCVAgTQq1K/gPY9d+5c23333d3w8ssv26OPPsqQR4MJEyY4ex2DPn36RNM+j56cv7x/OQfKngNnnXWWu7Z07drVjTEqa4QJJqV+Dtx33312zjk0V1M9AAAQAElEQVTncI3gOwvnQMTOgYsvvtgd0/POO8+NS/1aR/35vI/KOeDfOzj99NML770dsetoVM4Z6sH1j3Mge+fApEmTCujOPkVBAAEEEMiFAAH0XKgW4TZXW201GzFihBvWWGMN69ixI0MeDWrXru3sdQweeugh7PNon+q5Tj6uCcV+DowZM8ZdW95++203Lvb6UH7ek5wD2T8H9IDNV199xTWC7yGcAxE7Bz744AN3TL/44gs35vqZ/esnpphWxTlw4YUXuvf0L7/84sZVUYao7pN68Z7mHOAcqOgcKMLb/xQZAQQQQCBNAQLoaYKVQvZly5aVQjULto5q/fX+++8bAwZZPAc4n3hP2YknnujOA7VE59zi+sI5wDmQ6BwYOHCgnXLKKe5akWg5aZw3nAPFeQ6odaqO3amnnsr7m++EnAMROgcGDx7sjmf79u3dWO9zhuK8Tmf5uHE+ROh9zrlRuO/pgr2xTMEQQAABBLImQAA9a5TFvaF58+bZRhtt5Ib58+dbq1atGPJosHDhQmevY7D++uvbrrvuyoAB50DsHOD9kI1rQqdOndw55Y+zsU22wbnJORCtc2D//fc3rhHROqa8RzmeOgf897U/VhoD5wbnQPGfA3vttRff7/mb0Z0D0Xo/F/97k+NRGsewadOmxj8EEEAAgWgLEECP9vFNuXZ169Y1dful4aCDDjJ19cswJm8OCprLXkOjRo1SPm5kRACBIhCgiAgggAACCCCAAAIIIIAAAgggEH0BaogAAggggAACkREggB6ZQ0lFEEAAAQQQyL4AW0QAAQQQQAABBBBAAAEEEEAAgegLUEMEEEAAAQQQ+FeAAPq/FkwhgAACCCCAQLQEqA0CCCCAAAIIIIAAAggggAACCERfgBoigAACCCCQVQEC6FnlZGMIIIAAAggggEC2BNgOAggggAACCCCAAAIIIIAAAghEX4AaIoAAAggUmgAB9EoekSVLlpS7hb///rvc5SxEAAEEEEAAAQQiKUClEEAAAQQQQAABBBBAAAEEEEAg+gLUEAEEEKgCgfnz5+d0rwTQK8k7Z84cq1mzptWqVSvhsHTpUtNQyd2wOgIIIIAAAggggEAeBdgVAggggAACCCCAAAIIIIAAAghEX4AaIoBA4Qmo8XKNGjUSxl0Vj1VcduHChbZs2TLL1T8C6JWUXWONNUytzHWgEg21a9e2atVgriQzqyOAAAIIIIAAAgikLkBOBBBAAAEEEEAAAQQQQAABBBCIvgA1RCCSAtWrV7d//vnHEsVdlaa4bMOGDc3zvJzVn8huzmjZcL4EFi9ebBMmTLBXXnnF3nrrLZsyZYrp6ZR87Z/9IIAAAggggAACCGRTgG0hgAACCCCAAAIIIIAAAggggED0BaghAoUrQAC9cI8NJatA4Pvvv7d27drZqquuahtssIEdccQRduCBB9p6661n9erVs9tvv90WLFhQwVZYjAACCCBQlQKff/651a1b1z0t6HleyuPVVlvNWrVqZWeffbZ7eEoPU+WyHr17905aNj3Alct9s+0VAvPmzbNjjjkm6XHQdwE9RLcid35edew9r/zzdrPNNrNp06alXaBff/3VmjZtmrS+nrdivypD2hvP0wqzZ8+2Tp06mZ4aXmeddeyZZ57JaddaeapWxbshR8EK3HrrrRW+pzxvxXvL8yoeh687o0ePth122MH1QLbzzjvbDz/8ULAWpVAwfTe47rrrrE6dOm7o0aOHKS2KdS/Ez8hkzupi8bvvvnOfD02aNIm9J/VZ0bJlS+vatat77yjf3Llzba+99jK9d5Ntj3QEEEAAAQQQQAABBKpMgB1HWoAAeqQPbzQrp9bl99xzj22++eb24osvJqykAueXXXaZnXrqqaY/uhNmIhEBBBBAoMoF/u///s9dp3/88UfbfffdE5ZHP4Wi6/7EiRNt3Lhx1rdvX2vUqJHpQao+ffq4h6dWX331nD44dd5559mYMWOscePGVmz/dANagUv/JrUePGvWrJntvffeNnLkSNdri59HN6/79+9fkFXUgxbPPfec677pwQcfdDfcq7qghx9+uCvPl19+aW3atElYnLFjx9qQIUMSLisv8bXXXrPJkycnzKLvQNqnurJSGRJmquJEle3yyy83HaulS5fajBkz7JRTTrGPPvqoikvG7isSyGS5fw0p9OuMAnOLFi2ywYMH2/rrr5+wqhtttJF7z/7222+mQZ87AwcOdA9sNWjQIOE6Spw0aZIdd9xx9umnn7oHRXSu65zXgyRazpB/gZ49e9o111zjHqrW34eXXnqpvfDCC/kvSB72WIifkYmq/eeff7r3SevWre2JJ54wfb/SgyZ6r+nz8sQTT7RevXrZpptu6h6K1/eVYcOGJdoUaQgggAACCCCAAAIIIFBJAVYvX4AAevk+LC0wAd2cU8uBiy++2Lbaais788wz7dhjj7VkN7N0o/3VV18tsFpQHAQQQACBoIDnedaiRQu76aabrEaNGsFFbnrbbbe1k08+2bXGVWs/PRylluv77ruvW64X3RjXg1PqmSRXwQrdzFXQWfsrpuHOO++09u3bu0CQyq3Wd3oYYejQobbrrrva2muvbeuuu67LowcEdtllF2Ur2EFBfgWNkwW/8l1wlUfBc/V843lewt3roQ+dowkXJkjUOfzkk08mfUjg5ptvNu1T+06wekEk/fHHH653iGBhFLgcPnx4MInpJAI6B/bbb7+iaXVZQNcZq+jfKqus4h68UuAuUd6OHTu6Fq+6HmrQ585//vMfe+CBB9x1VO8/PdgVXvfrr782BQCD6Ur76aefgklM50lALbLfeOONMntLlFYmUxEn6HOhkD4jg5S6rulvd/2Nrl4B3nvvPbviiitMrc71XtP42muvNT2Mou9zOoYzZ84MboJpBBBAAAEEEEAAAQQQQMAXyPmYAHrOidlBNgXU+uPhhx+2jz/+2NTySi0P1apOT6xfffXVCXelrk0VeE+4kEQEEEAAgYIR2Hjjjd3PcIQLpFZVCngE09Xi/Prrr3c/4xFMV6tCtTbLxXXf87yEAf7g/gttWt2A33XXXa5YujkddtQC3ZxW62BNn3baada8eXNNMqQpsMYaa1jt2rXdQwnhVdUCfdSoUeHkpPMffvih6dipy/pwJgUd1Mo3nF5o8+rpoGHDhmWKlegcLJOpxBN0/brjjjvs3XffLQoJnavFeJ1RTw6JgBWATJSuNL3H1YpdQXTNBwf9hFT4ITBtK5wWXKfsNCnZEqhZs2bCh6y5BmVLOL3thK9rCqTr5w4SbUWfHY8++qgFH5RMlI80BBBAAAEEEEAAAQQQQCCXArkNoOey5Gy75ASmT59u9957r6lF1vbbbx9Xf93M+u9//2s77rhjXLpm1P2pnl7XNAMCCCCAQHQEWrVq5XojCddIXYKGWwGG85TKvB44mzZtmj3//POu5aQ+D19++WXT56g+O4MOanWpLrc9L3Er6mBeppMLHHXUURYOcKvltbrGVwAh+Zorlqjr8379+tk+++yT8PxekavwX/VAwVlnnRVXULUulE9cIjNlBPTAqHrkKLOgQBNK7TrjeZ7rzj38d4d+kuSII46IO0rq/SNZoD4uY1RmCqgeenChU6dOFgyYN2jQwMLXpQIqcqSLogfe9f3Mr6S+w3le8u8belBSD87rJxX8dRgjgAACCCCAAAIIIIAAAvkUIIBejjaLCktg6dKl1q1bN0v2pLr+yE70lPpaa61ltWrVKqzKUBoEEEAAgUoLqLWfutYNb0i/rzlmzJhwcknOb7bZZq5L4bZt27r6K5Cgrl0/+eQTmz9/vimg6w+6Ua3W/i4jLxkLqCcF3zu4kUGDBpl+SzmYlmj6xx9/tGHDhpl+qkABoER5iiXtjDPOsM8++8y6dOlid999t5tO9J4tlvrko5x6b8pN33vzsb9s7KMUrzP6u0Pdugf99FCSHvRV99QXXHCB6Wek7r///rgAbjA/07kX0M8gfPfdd6aeyq677jrTdLK/JVUahtwJ6HvZhAkTYjuYM2dObDrZhHrE0U+3JVtOOgIIIIAAAggggAACCCCQS4Fqudw4265SgcjtvFGjRnbAAQeUW6/69euXWa5WdsV+A7pMpUhAAAEEEHDdqScL+CoICZHZ1ltvbQroqhthPPIj4HmenXjiiWV+XkA94rz22msVFkLddjdr1sx23nnnCvMWegbP80ytcm+77Tbr3LmzJfqeVuh1yGf59LDBoYcearNmzcrnbiu9r1K4zuiYPPLII7Zw4cKY16677mrhzyAF0Y8++mjr2bOn6Vhy7Y1xVdlEixYtrHv37va///3P9FMmVVaQ3O+4oPfw888/u4f2/ELqQZPx48f7s0nHeh+Fe3VJmpkFCCCAAAIIIIAAAggggEAWBaplcVtsCoEsCmS2Kd2cDq65zTbb2GmnnRZMYhoBBBBAoAQE1NK6BKpJFQtUoE2bNrb33nuXKZ1ap86ePbtMup+gZcpz0kknmVq4+umlPlYvCer+95VXXjG15FcgZsmSJWVYgvmUV+sorUzGPCUo2Dp06FD3EwpvvfWW6fgm2/WoUaOsXbt29vvvvyfLQnoVCuihLJ17+okFvxh6OGmLLbawXATJFy9e7Hps0M9v6FzWT3H4+63KcaGWqypN2HdqAnoIJZhT76m2bdu6XgFWpCd+bd68uemnP6riM1Hn+7fffhu7hv/xxx8JCxnMp2v+3LlzE+bLd6LKpQezCu06km8H9ocAAggggAACCCCAQKYCBNAzlWO9ghP46aef3B+3fsHUnfvrr79u66yzjp+UvzF7QgABBBDIuYACGfPmzUu4H3UpnHDBysQFCxbYU089ZTvuuKMLfnie51oMH3bYYfbxxx/HtZJauUraI+1DNy133313t23P88zzVgzqxvqiiy4yfXalumF1d9qjRw9r06ZNbHurrbaaHXTQQaaWzYkCitq20t955x1T3ZTf81aUwfM89xmpB80+//zzlOvsl2OrrbaKs1M9FejRDVvtt7LDlClT7JJLLrF1113XuansZ555pk2aNCmjTet45PqY+wVTK9QOHTr4s7Gxuuf+8MMPY/PhCS379ddfba+99govSnv++++/N/3+r1rued6KY96wYUP3YKG6MU4UWB48eLCz9rwV+T0vfqxAod+d7tdff+16N/C8f/NouQLFt956a9Lt6BzxK6Nt6Hua5/27Dc9bMa0u7JVP3dm3bNnSVI8jjjjC1G22WpTqIUl1Caw8GkaPHu16XPDzKa+m99xzTxs3bpyyJB1kofd9+/btTeeZ560og4Kjjz/+uOncCa6sOnjeijyeFz9W3fUeuP32212Lez1Iccwxx9iBBx5oDRo0cN3Zh7f35ZdfugcuJk6cGNyNm7788stjljovwoEZbStq15ng8dA563krjHU8dU1I5OSwcvjyxRdf2F9//RW3B7VmfvbZZ61OnTruPet5K8rpef+Oda3Xxg1teAAAEABJREFUtcxfUddatVr3vH/zeN6KaZ3zqvszzzxj+gkq9aKlc0fnsnriOvbYY00/UeJvKzyuzLmQy3L55dRnkT6r9Jnlv890zdBniT7b9Nni5w2PVbd0rt8VvUf97U+fPt30Pve8FcfA8/4d++83HZP33nvPdM3xPM9di3SMlO5vR2OVMZvvRW2zvEHnld4P2fiM1LHJ5veEROXefPPNyySPGjXKWrdubeecc46pPmUyLE/wPM/uuece93m2fDbhf507OoeCx1LnmL7f6LMwvFLv3r1j11XP+/eYe55nOnf8a7jeq9qm3oe6hut9qZ/Y8L97yq1v377ugbctttjClE/XfAX7u3btWuazI1iOypwvuXy/qk65PheCDkwjgAACCCCAAAIIIFDIAtUKuXCUDYFUBXRj9Pjjj4/94V2tWjXTjXzd0Ep1G+T7V4ApBBBAoBgEFMwYn6D7z1atWtm2226btAq6Ybvlllu6brZ/+OEHF0hXS9VevXrZG2+8YTvttJO7maubm5bhP38fupmqANBXX31l2ofS99hjD9PvgOqGsAKDXbp0Kfcmq25mPvrooy6gcumll9qmm25qaoGrlqqHHHKIvfnmmy44rgB5uIWrgs36PNx///1NvbQoGKlyqN763JwxY4bp5u92221nxx13XLnBGQULFDRYf/31TeXQDWZ1N67t6Wa0ApAK9OjhhU8//TRDOXOBfHXtqsDTnXfeaQpwaGO6Yf3www+7+usGt9JSHeSe62MeLotuoutcDKbLsF+/fqaHP4Lpmlaalu2zzz4WXk/LUx3kdOGFF7ptPPjgg6YAso63visdfvjh7ngrYJHoeCuwpVaBCgyG96dzSOfXXXfd5RbJU+ehAkv6qRydy7/88ov7uR0FDmSuruhd5iQv2oaCJtdff33CHC+88ILJQ/sJZ1DwXe8vnR8KyqnLe6WF840YMcIUeEzWclB10ntB73ud3wrkyOqjjz5y70sFNRXIDD7sIke1CN5tt93CuzO9L+R/2WWXuelwhjvuuMNuuukmd577yzzPc4EXdXfvp/ljpenBEQ3qyljW/jIZy1AOUbnOTJ061bU29Y/HWWed5R6A0EMfurbomqDzqqLrpm+UjbE+C1588cWkm1KgTtdCvd88z0uaTwt0PHXOnnzyyZqNG3R9UP30IIcCgnELl8/ouqiHYnSOLZ+N+1/ZcyFX5fILqc8EfXbpc0rXmPfff990rbrqqqtM71t9pqhFv1rL+uv4Y79u+mkMXcsUSNfnTnmf2XqP6kELPSTnbyfRWA/waP/apueVPXZ///236/5dD2arHNqG9n3CCSe4QKvmNWhZtt6L2l55g84TnQvZ+ozM5veE8sq9ySabuIf2EuV54IEHbL311nMPeOkhskR5kqXpe5v/vUTv1SFDhpiOvR720vcbfZ7qZ0T0XcrfxnnnnWf6TEh0DV+0aJFpebJruH7K4corrzSdG/qsU5Be+/W3rfHSpUtN+wxf67VMQ2XPl1y8X1WufJ0L2hcDAggggAACCCCAAALFIEAAvRiOEmVMKKCbB7rBqT9wwzdc9Efrtdde61oU6A/UhBsgMaoC1AsBBEpEQAFbtcIJV1etg9QiK5yuebUAVmDTD8ipdacCiQoYduzY0QXalE+BkP/+978JA51aXt6goL4CdtqHWpzeeOONpsCP9rH11lubWizqhq6/DQXUunXrFhdQ85fps06tqlQ2BU0U+FTQQDeL11xzTdNNVD+vWg9fc801pnVs+T8FBjt06GBq1ex5nqllrPKrHAp26iawWlQtz+r+64a8goXhG8FaqG2qRa0f2Fl11VWtT58+ttdee5m2J3PdSFZe1fuAAw4wWWs+3WHgwIGm/ai+/roKaqo+urGtY6PgmR5C8JeXN1Y5cn3ME+1f56DOrfAyHaexY8eGk01pCkbrGASDpGUylpMgoyOPPNJ0jiibAr+a1vH2gy1K0zIdb52nWkfz/qDW3Qpa+vP+eObMmQkDwgoe1qxZ06677jrTPvz8Otd1fvjzycZqgXrwwQe7VrzBPMOGDXMPauihAh13BTt0HIN51LWuurs/++yzrWfPnpYsn4J3ahkaXFfTqru6BlbgXPN62EDvIdVDgTe9d5Wu/Sggp+CC5jUo8KZgoKaDQ//+/U1lV0t8ncM63roOBPPovaNAoJ/Wpk0b935SINxP88dKU34NOu9r1arlFkXxOqM66QEjP1ituuvhCh0PXUMVZNP1RgC6bnbu3DnhOanl2Rz0IIceVCpvmzqPdY7o2lxePi1Tq1bVTdPBYejQoXbvvfeafsZB57IevNpoo42CWUxl+eCDD+LS5Kb3sq69Otd03spLVnofpvqZk+1y+YXUAy66Fqh8+uxQUFPnvB501kNXGiuvHgrTZ5YeMNC8hspcv5s2bep6rNB2yhs8z3OfZeFjp78n9cDQ/fff73rbCG5Dy15++WWXlC1/t7EUXrL5GalroMyz8T2hoqIrgK6HlcrLp3ND57x+ziJRy/Hwuno/6DrsP3Ci46VzTcdeD2XoOq519P3k7rvv1mRs0ENHWjeWsHLi5ptvdj+foPefjrPeb3pfrVzsRjonVEb1dqceRJLlu++++9xnu1tp5Uu2zpdsv1/zeS6spMjmiG0hgAACCCCAAAIIIJATAQLoOWFlo/kQUOsF3UjVH6b6ozXRPvX0uW4o6Q/VRMtJQ6DwBCgRAgikIqDWoGrlqcBuML+CX0oPpvnT6vpYrd1mzZrlkhSk3HXXXd20XjSvG6+a1qBW3wq8aTqdYcCAAabPKK2jfal1tloXa16DAm/hFvJPPPFEmZusyqsb5Qqua1qDWi1qfU0nGtQy2w8+KIinVpHKJycFnGSgeQ3qZlzBKk37gwIdulnsz/tjbTdYDnW5q25N/eWe57kuqmWoNNVbgc10P3/1ua2HGoKf6wpqqiVX/fr1bZVVVjFtV8FEzyvbWlD7Dg6qbz6OeXCfwemjjz7awjfeZZMomKu0DTfc0NSSOriNVKd1jsnOP+ZaT63G9aCFpjVoWmma1qC8Csoq0Kt5f5Cxgm/+vMZ6WEUPrWg6OCjor8CTvpMF0ys7rZv5CmyrLDruCnaorOHt6nzVe1UPmZSXb/jw4bGHS/xtqEcDGfjzuh7ogQB/XsFH7VfzesBB+TVd3qBWjmoRKWe9H/QwiXqKCK6j96iC8sG0dKejdp3Re1Wt7P1rpzz0MIiOqaY1NG/e3HbZZRdNuuGhhx4yBcx0fXMJWXzRcVTAVw/v6LqbxU0n3ZR6VdE5r5bWqreuszqvgyvo2jhy5MhgkmXzXIjb8MqZTMul1ceNG2f6TJ4/f75m3U8VqMcTN5PgRe8LXWu0SOdEVV6/1Upe1zw97KIyqTcXlcsfFKTVdK79tQ9/yPZnZDa/J/hlTDb2PC/Wmj9ZHj9dD9HoQUMFqYMPLvnLNVa6zg+9JzTfqFEj9/C8pjWoG/UddthBk27QtSKV1u36zFYrdr3/PM9z1xw9aOU2svJFD7jooS59/ulhEM9LnE8/uRD8qRGtnuvzJdP3az7PBTkwBAWYRgABBBBAAAEEEChUAQLohXpkKFeFAnqKXV2F6kaLfg8z2Qq6Eacbnrm4uZZsn6QjULICVByBHAiom0x166tgrG6qqnXs5ptvHgtSa5dqVaubfwqgK/CgtPCgm+H6XUc/XS2EFZDx5zVWF6Iaa9AN0qefflqTaQ3qaji4glr/6bPIT/M8zxRY8+c11k1WBRo07Q8Ksqk+/s1hraMAn79cY/8GvqY1qHWqWkJqOnzTVnVXt9Ra5g9+Xn9en5WjR4/2Z91YN4lvuOEG88uhRH0G6yazpv1BljL151Vn3bDWNv20isYvvfSS6eGIYD4F1YJBTS1T4F9BW02XN+TrmCcrg3rI8VvABfPoQQW16PbT1B24AmcKFuumv5+ezlgtCBVIDq6jHgeC85oOp6knArV81TJ/ULkVuPDnNdZxVBk11rwGBbn1nlRL++Cx17LKDgpe630e3I4eHvFbq/rpeu8Hg6pKT5RPP2GgLqO1XIPM9f1Q0/4QttE5Hjz31GpfrWT9/InGCniqxbS/zPM8UyDGn/fHen/405mMo3adGTRokL399tsxCj3go+tMLGH5hK6B4YeP1DNG2GJ51kr914Mo2pd6Y1Cr90ptLI2V1Ro7GPDTquoWXOPgEG6ZG65/pp85wX0EpzMtl64VenBLf6/529N7TMfWn19jjTVMD0f583KvV6+em63q67cKcckll5iuyRpUF10TlK7eYNR1t6Zz7a99+EO2PyOz9T3BL19FYznq/EzUA0OidfX5ss0227iedMLLdc3Qg01+ut6va6+9tj/rxk2aNHFjvegzQD2DaLq8QQ8/qZzBPOrFJTivad1/UNBe0/6QKF/4Wp/r8yXT92u+zwXfjHEEBKgCAggggAACCCAQYQEC6BE+uKVQNc/zTDdX1UJPgXQ9AZ6o3mrZp9+rS7SMNAQQQMAXYFyYAgr66qakArQK6qnVod9iVq1D1X2munlVUNXzErdK1o38cPBPwWMN5dVa21ZrnvLyhJcpoBdMU7BAge1gWqJptSAOpqtlkz7b/LS11lrLggF+pat1tlppaVoPDqi7Y+XTvAKQnvevh5ary08tK2/wbf08auEbbomvOnnev9tWXtUxfNNZN7hT/fxVa0O1wta2/EH7CQfR/GUVjfN5zJOVReVX97jh5WrNqJaNfrpauym4e+ihh/pJaY1VVwXP9dBHcEXtPzivaQWrPO/fY6cHI5566qm41tme55mCQ+FgtQKcwQc9FLRXiz61tNe2i2mQfzD4orLrPaJxskF11ZBseT7To3Sd0Xs//DCDAqnq7jtsql4Ugml6oOHVV18NJlV6Wq1a1eq4b9++luxvi0rvJIsbyNa5kMUiuU3pvaIutt3Myhf93bZy0o2aNWtmwda9+jkQPXSka1q+PrNdQRK86PM22NOKHm6YMmWK6eEbde/tPyiTL3+9T7L5GakqZ+t7graV6qDvbXo4UZ87+jyqaD29x3WOBB+uS2Sh73Oe9+9nW6LtJuqJJFG+XKbl63xJtw5VcS6kW0byI5ALAbaJAAIIIIAAAgiUJ0AAvTwdlhWVgG7IqKWCWm+FC65WfKnewA+vyzwCCCBQJAKRLaaCxOq2NNx9qiqsltv6KY9w0FfLgoO6zf7mm2+CSTZnzhxT4EU3pP1BLYMUuPEzKgCgVrb+fCpjdferbn8VyFbLqf79+9uGG26YyqqxPAoevPnmm7F5TSiYFA6IqgW6Woyrhb7qowcMlFfDvvvua9dee60LuqtF8eOPP2477bSTFqU1qOV6eAU90BBOUwA93PprwoQJFm7VFF7Pn9cx/vrrr/1ZN1Z9gy2AXWKKL/k85uUVSV2b+w85+Pl0fPv162d6aGLBggWmQJ2Olx4S8fOkM1YvAXqIJLiOgt9qiR1M07RafMpV0/6gdbUNf15jtbAM/gNW/e8AABAASURBVKSB0tSCT63nNa06KMC1zz77WLh+Wl7ogwLo4TLqe6R/LdBY3bsHrXSsdJ6G16uK+ShdZ2Qafu/rPE10/iqoGfZWUGzhwoXh5Izndc3RNe7UU0+1zz77zG666aaMt5WPFbNxLuSinKNGjTJ9NgW3HQ6Y6vP23nvvNfXIoYfV7r//fvdTHYVw/VZAVkOw/Pqc03kZTM+Xf6L3ia5POl+DZUxnWp872fiekM4+lVd+xx9/vDs/evbsaeHvDsoTHPTgwi233OI+M5Wuv+3DPTHoXNNDe7p2+4O+Iyq/P+g7iYLv/nxVjPN1vqRbt6o6F9ItJ/kRQCBOgBkEEEAAAQQQyLEAAfQcA7P5/AqoZZ1uwugPwOCedcNTf1QH05hGAAEEECgkgfLL0qBBA1NXvQoKhnOqC+qXX345nBw3r+CKbrgGE3WDXt3BqytRf1DXvQpq+vl0U1+tzfz5VMZqha2g/owZM+yLL74wPQCg9bSdBx980AUbFcxWWrJBN3iDra2S5VO6Ws2q+2zd2Ne8Pyj96quvNgU9tS11s+15numBAHVFvfPOO5vq6+dPNJbbzz//nGhRSmkKsqa6vgK4eggguGEFBnTsg2mpTqvs+Trm5ZVJx0b24TyDBw82tYBWkGnkyJGmPJ5Xfuu58Db8eZ1rlfmeo3W1DX97Gut80o1+TQeHJ5980p1DaomuALOCIAqCBfMUw/SkSZPKFPO2224z/1qgseofDtKEu+Mts5E8JUTpOqNrlK61mdLpXNQ1M9P1y1tPgb4LLrggdh0vL29VLcvGuZCLsuv6lup2dZ3X9d7PXyjXb7885Y3z5Z/tz0jVKRvfE7SdTAc9AKD3l64B6q69VatWSTel5f71V9eL8PcFXat1zda12x90TQ9usBAC6Pk6X4L1TmW6qs+FVMpIHgQQiJoA9UEAAQQQQKDwBQigF/4xooRpCuiP0ksvvdQ879+b0J7nmf5AT3NTZEcAAQQQKCABdZ+qrnXDRVIX1J06dbJgd+fhPAqk6oZrMF3BeLUuVJA32aButfWbrcH1Ek4nSdQDXAqW66Zwo0aN7H//+5+dfvrpdthhhyVZY0WygkG60btibsXrkiVLTMOKufRetZ5aDitorkCFWlbusssuphvX5W1JDxPIoLw8FS3TgwoV5dFyHR/tT9PZGKrqmCcqu7o4l3twmVz0IIN6KFAvOjo2weXpTM+fP98UcEpnnWBerattBNM0naj1vH7WQD016HzSg4vqbll5i2nQOa2ATbjMauGY7Frgp3ft2jW8WpXPF/t1RuWXb6aQul5W1AtJptvWegrs6kERTRf6IMtMPnNyUS8FNMPbTfU4FdL1O1yH8uZz6Z/tz8hwPTL9nhDeTqJ5fcboIUg9MJZouYK3bdu2NfUUpFbk6jUnnE+tyf0ebXR+hD+z9HMA6nFO15Jkw/jx461x48bhTVfZfC7Pl8pUKpfnQmXKxboIIIBAQQlQGAQQQACBkhCoVhK1pJIlJ6Auc4Pd5aobyCZNmpScAxVGAAEEoiTgeZ6de+65lqgrd/1GZufOnV3L2ER1Vper+iwILtPvRevmZTAtW9MKEqhHFAXNFaxWIKF79+6mm7eXXXaZ6TdA092Xbh6rG9N01tNNZP0G7UYbbeSC9vo9+VNOOcV1m9qjRw/zPxuTbVMtixUkTbY8lfRw4DiVdbKRJ9/HvLwy6wGKgw46qEyWW2+91dQrgX5+Rg8AlsmQYoIeBlGL8RSzl8mmdbWN8IJEref1vlGXuwrSqdW88oTXK/R5ndOJzv1wi8ZCr0dUrjN6yNXz/n3wNV13BbgVgEt3vXTyb7vttlavXr10Vslr3lycC7moQKqt0gvp+p2KQ7H4J6pLZb8nJNpmOE0Px+mhKz00Fl4WnFePD0ceeaTpZ0X0AFdwmab9Fug6P8KfWfpsytV3Ou07m0Ohni/5OBey6ci2EEAAAQQyF2BNBBBAAIHUBAigp+ZEriIT0I3R9ddfP1bq7bff3jL9XdHYRphAAAEEEKhyAQUZ1YopfONUBVN30gpG6gag5oODgisKsgTTdENXAe1gWjam1UX6CSec4Fp3+wE5BffV+lyBolT2oYCmbhAH8+rG8A8//BBMKndaN2i7dOliav3st2ZXy/cHHnjAwr9Dm2xDKkeilmDJ8ofTPc+zVNfXbxuHj2uKN8TDu3Xz+TzmboflvOhBBD1I4XnxQcK///7bFIA+9NBDy1m74kVrr7226WGNinMmzqF1tY1ES3X+hB+CGDBggCmQoWWJ1imGNF1LwuXUgy66LoTTC3E+StcZPcwQfsApHXN9xw9f39NZP5W8G2ywgbVs2TKuh6tU1stHnmycC7ko56abblpms/pZk1TeY4V0/S5TiVBCvvyz/RmpamTje4K2k+qg72nyqii/HjLU97nw55L/WaTvCrVq1YrbjB6kVAv0uMQCnFH9K/sdMRfVyve5kIs6sE0EEEAAgZIRoKIIIIBA3gQIoOeNmh1VVkABEf3G4fvvv2/qqjHV7XmeZ/qN21SDFqlul3wIIIAAAlUjoK7cr7nmmoQ779atm73zzjtllumm62abbVYmXXn1+VJmQYYJCgzod8Wff/752Ba07zPOOCOtwItaOipgE9vIyolXX33VtI+Vs+WO1EpYrcz9TJ7n2XnnnZf2T5rst99+/iZiY3XvGZtZOaGbr+oae+WsG6lL1UTubmHoJVEQVzea9buvoawpzco90b6zfcxTKszyTOqiXefu8sm4/23btjUFAOMS05xZc801Lbxtndf6eYPwpvQghh5MCKZrXW0jmOZPJ2s9rxb1WubnK7Zxoq7n9ZMO06ZNK/iq6BoQpeuMHnrdcsst49x1jdEQl7h8xn8oaflk7P8ee+xh4WBabGGWJvRA05133ml6SDdLm8zKZrJ1LmSlMKGNbLHFFqEUM/WCMnHixDLp4YRCu36Hy+fP59M/25+RqkO2vidoW6kMaln+4YcfppLVdbWunzfxM+tBtNatW7tZWahnHTez8kXH4oMPPlg5V5gjlTEb1+5c1C7f50Iu6sA2EUAAAQQQKA4BSokAAsUkQAC9mI5WCZdVN4GvvfZaU7fs6rpXgQW1qtNN4EQs+l3Rn376yS1Sq66DDz7YTfOCAAIIIFD8Ap7n2dlnn2377rtvmcooYKggcbhluW68Jmot++yzz7quQstsaHmCgredOnUy/d7z8tmU/qtVrrYZzKzW3smCk8F8wWmVd//99w8muenBgwdbKl3gqiXWo48+6tbxX/QgWbg1l7+svPFOO+1k/k1rP59a6vrT/li/carfJfXnNdZvmqrVnKYrGtQSW0HmYD59zidqda/AmoZg3vC0DPNxzMP7TTavFs/qqj24fNVVV7UTTzwxrYcrguv7057nmVq0Vav271d72U2dOtXPEhuHf0dX62hdz4tvHe+vIMdw63nP80xpWmZ+xiIb77LLLmV+wkDXDXVNr++d4eooTT/L8Nhjj4UX5W1ex1Q/5RC164xaj7dv3z7OUedpoocZJk2aFJdvrbXWcj9PEZdYQjPZOhdyQaaHItS7QHDbkydPtvBnZHC5P61rSyFdv/1yhcf59M/2Z2Q2vyeEXZLN6zp60003Jf25neB6yhv8nP+///s/0zmlPOqxQn/jazo49OnTx8aNGxdMik3r+q6HGcPfU2IZ8jCRz/MlnepUxbmQTvnIiwACCCCAAAIFJEBRECgxgX/vspVYxalucQnoD90nn3wyrtB33HGHnXLKKQn/AB86dKjpBo1u+Otmp4IGcSszgwACCCBQ1AIKRuomrFqphSuiG5Q33nijqUV0cJkC0vpJj2Da/PnzXTA+fMNV82p5rYC8uu0NrlPetB7eUoArmEe9pujBLj9N5UrUitJf7o8POOCAMgE+bUetl8ItvbWObja/8cYbNnLkSNONYtVB6f6g4JuCUv688ofL6i8LjtXysnv37qZAq5/+yy+/2F9//eXPuvHPP/9swe5T5XbxxRenHBxWwOTcc881BZXdBle+qDW/zFbOmsr91FNPuc95P01j3WjXoGl/yMcx9/flj4Nl9dP8sW74BwNKemDADwj4eTId77XXXtaxY8e41b/++uu4ec2oBajG/qB1tK4/n2iscqqVur9M00rz54txrFb/p512moXLfu2119rLL7/szjN/md47l1xyifXu3dv22WcfPzkvY32f1Y503uuad91117nu88Pv3WK/zhx//PFxD0Xp2qzrmOruD2q9+emnn/qzbqwHaoOtVF1iCb1k8zMn22x6jyUKgt9yyy1JH1xTDyFXX3216VpeFddvS/NfPv2z/Rmp91e2viekwzZixAjT3/HlfVZqe3p4Tl3+a1rfP6644grTdz/Na9ADaY0bN9ZkbNB3kwsuuMDC10ddN/bcc0/bZJNNLJMHCWM7qOREPs+XdIpaVedCOmUkLwIIIIAAAgggkA0BtoFAugIE0NMVI3+VCKhbxkR/7Oqm+lFHHWV+axTdXHzzzTdNfzirZaJuwiTqArdKKsFOEUAAAQTKFVBwWEGgcCa1QkwUMFYwXF22h/Nr/qGHHrJHHnlEk7FBrcD1UFU46P7VV1/Zxhtv7AJj+skPBRPV44lu1N5+++2m32LVRvQZowCOpoND8CawWkXpJndwuW7k6max6qDPKwUUBg0aFMziprUdDQocKEFluOqqqzQZN7z22muutbG25S9QgO/WW281BdcVoFU51PLdX66xyq8AnB5KUwBfLfVvu+02LYobtH/VU4O/oG3btnbDDTf4sy74MWrUqNi8tq3PX38dGevBt3Q/g3fbbTc755xzYtvVhKy0b9VR3bmr3HKpWbOmFscGBRr1m6nqOcBPrOwx97eTynjGjBmmMr733ntxwdfgugooydJP07mg1rf+fHisOoXTFFhMlK7zVIGpvffeO7aK7GTmJ2j67bff9mddwDJ4jscWhCb0XlCwwk/WtNL8+WIce55nl156qTMIll/d2+sYqft/PVxw3HHHmc4jtTzv16+fpXtOB7dd0bT2Gc7zwAMPuJ8iOvbYY+2FF14wPZSi3wdeeZ0x/1+xX2d0PqmuevDGr9OAAQPiHoQaN26ce0DIX37mmWc6D89L3HuCny/ZWNfBRMsSvb8S5SuENF3rs3UuZLs+nue54xM8ptqHPusVHO/fv3/s+OrzUdevDh06uB4Fqlev7t53lfnM1r4qM+haoGt6edvIt382PyNV9mx+TyjPKbxMn+kXXXSR6biHl2le1zM9HKPPO83ru8rhhx+uydjQokUL69WrV9zDfVqon7pRF++6jus73TbbbON+4kQPJer66XmZXS+07coOMi/E96vKVVXnQmVNWR8BBBBAAAEEECghAapaBQLVqmCf7BKBtAV0U+1///uf1alTp8y67777rum3E9VFrLp21w3G66+/3tQKT388l1mBBAQQQACBghJQ8FWtchT81U3TcOHUZbk+AxTEyFb0AAAQAElEQVQ8UV5/ued5rvW4Hpjy04JjBdfVGjuYppazb731lvvcCKarpfmQIUNMgfdhw4aZgmYKVunzx8+nFkyvv/66Pxsbq7Wqf5NdrYnVzWhs4coJdaeuQKk+r9TVuQJ3KxfFRurCWAFW/Q6zn6gA3jXXXOPPxsbap7al1uHNmjVzrbLuu+8+8wN8Sttrr71i+f0J1VHdwKpew4cPN92U9pf5Y1lruy+++KKfZApmXHbZZXbPPfe4BwoUWNCNafX4MmXKFHv44YdNAXytoIcRZCxrzaczeJ5nN998szuuwfXU6lbfAdRd83PPPee6AFbX8sE8mtZNeT1YEWx5rXKoPPJSHn9I5Zj7ecsb66EH/e6qzjedn/fff78pEKRgdXg9z/Ncl+1qZa8HHdQiPZxH8zpH1JV4+CEQLdOgIIDOU+1b8/6gwKoeLjzmmGNcks5ZPVSoXhnGjx9v//3vf01pWqg86kpZ54LmKxpUVpVZ360OOeSQcrPLQS0HdX6EM+p95b9ftEzTOtf8QInSNKic3377rSbdoG2+//77lmk+/RRD+LeXVXcZtGvXzu0j+KKfKdD7Vsv1HVPvHZ1Lfh5dqxSo8ef9sdK0zJ/XtNL8eX+sa5Pq7s9rrBaS4euZjrGuS7r26GEHBfCjc51Zx3TsVXcNCojpver3bqD3uq5HOnfHjBlj+kkNXW+UV9dQ/3qk+XQGvb90bqqlc6L1nnjiCXvmmWcs0QNdifIrTcfppZdesvA5pnntS+ev8mnQcdf7QNPBQee33qt+WrJ8o0ePNj0IpXzZPBeS7S+TcqlsGnS+6j0Uvv7q4QU9iKNroed5ps/HHj16mI558H2maZ0T4fVTuX7/+uuvceeXyqNB70e9LzWtQQ+N6e9JHSvN+4N+AkPngZb7aeFxNv3D204073nZ+4zM9veEROUNp6kluT5DlK7vLLq26nP7m2++Mb23df737NnTWrVqZbrm6vuEjo0+uzyvbOBb125dQ/T9QNv0B//9qGunHvbT9xf1IKIHzfw8eghR6/rz/lgPKQYfxNN1QGXwl/vjVPMFr/XZPF+y+X6tinPBd2SMAAIIIIAAAgggUCoCxVlPAujFedxKstS6casAy5VXXulaCgYR9EefniofOHCg6Te8zj//fHeDP5iHaQQQQACBwhP4/PPP3Y1ztVBTUDhZCXUTdMMNNzQFmHWT1c+nAJhaVavFs5/mj2fNmmW77rprLLDrpyvAqmCMWpTqZqZu6GpZ3bp17cADDzQFJp9++mkXlFa6Bt143XHHHU3b1HxwUNBa5VfQVuVRK8rwzX7l18+JqCW6bt6rlXU4j27sKviqgIHya1CaAkjqsjzcOkjL1epZN/0PO+ww1yq8TZs2Sja1cFKwbbvttnPzwRfVt3Pnzvbxxx/b6aef7oyCyzWtoL1uTGvaHxREv/DCC91NbgXLdYNarZ11A1ytwuWjYyhbGfvrpTuWkxx0HHQ8ZKBtKKivm+DqKl7d68tPQXwFZ/RwhbqUV5BK3b7quGodf1B5VK50jrm/bnljOSgApFaBukmvvArsqKtZBfsVPAqer1quYyS3tm3buvNZacHh1FNPNRloHA4W+/nUTa0ekNC+X3nlFT/ZjRVEV9BHwecOHTrY4MGDXbe1zZs3N+VVmpYpj/K6lVJ4kffuu+9ue+21l+l7V3mr6MEMPUgyYcKEMtn0ftliiy1MPUuo9wcF5fWTC+GMqrseklAwRa0U5aUWi8ny6T2qoOK2225rifLpvaKuvnXuB7chA51DeghC3zV1HdByvU90Hmm7em/ruCldg0zVKl2BRc0HB6Wp1yQF/VQ/BYWVFsyjab1XdL1Qb0ma16B59dyg96X2rzQNBx10kHvwQeXTvPJF9Tqj81RdPPvHQy2QlaZjp/ewAmk6r3R90/tEHukMes9qPb0H9T5KtK6u83qgSQ/mep5X5jMkts7KCQXY1KJa13Vdg1Ymu5HmTzjhBFNreSXonNA5r/eB5oODyqMupnXO6Vzeeuut3UNRwTya1rVGXVcrAJmtcyHb5VI5/UHvnU8++cT00I6fFh5r2Zdffmn+wxPB5Zlcv3Wt22ijjdznXHBbmtb7UeeU6uw7n3zyyaZjpeXBQddyXWf10FIw3Z/Olr+/vVTGOn+z8RmZi+8JFZVfD4XpM1HBXz3s/p///Mc9uKhrrb5L6PzXA2j6qQz1aqP3vKY9r2zwXPvyPM+OOOII0zVB720F3JWuQa2q9TCkPu+0zP8uoWX6XNFnmr4HaT446Pqj75s6P3Tt13kU7LnFz6t8/nc/Xcf1WZIoX/Ban63zRWXL5nWkKs4F35ExAggggAACCCCAAAKFLBALoBdyISkbAr6AbhbpKXUF0nWTwx/UMqVv376mIHrwj2N/PcYIIIAAAoUpoCCbgmP+9byisa73+iwI1kYB55kzZ7qb34nW79q1azC7m1aQTIFEteRT6zKtpyCIAmN77LGHeV78zVoFiJUn2aCWTLoBrI0rWKCbvrppqta/auWollRq8abfUdbnlG7I6satAurKowCebirrRrDnxe9bgWv9PrAeEFMrqE6dOrkA+aabbupafquVnB4ga9SokXYfG5o2beq6O9Y66gpVg1qxqhx33323yUBBQKWpBbmCP/osVV0UZNR+YxsLTGgdBbKDn8Vqka6byepiVfULZM9o0vM803HQ8dC25a6Aq26C60ECtVZUK1F12a7AiwLVSitvZ6pvOse8vG35y3RuqWzJhkTnq4IfqpcCg54Xf6y1XQXWkm0vUbrMtV5w8DzPFHDUAwM63v56mlaalnle2X0HtxGe1g12PViiQdPh5cH5ilz0EIR6QlCAUGXyy5dorIc2dOzUujfRcj9N71E9ZKEgnJ+WaKxWy8Gyalrn+i677GJ6uEXXAa2n64KuD+eee657oEH5/EEBbeVJNmhdfSetqH46t/UwiL9djfU+VpBJ2/C3r0CTjpmW+0OUrzOJjocs1LW6Wikr8OU7pDuu6NzUfsKD1ilvP7r2DB06NOlnkLana6y2UdE5obz+uayHgTSfaND5oXNT28z0XAh+5uSiXCqbP+i81uecHk5QYFQPiuhaommlaZk+s/z84bGuAelcv3VdTOTmp6kFvOqsa4ZaP/vpicayvuuuu8JFis1nwz+2sRQnPC87n5EyVwvpbH9PCFfDf4/oGGqZfp5N11F959DnZND9t99+M/18g66hqX6fSPS9RJ8t2k742qn963MluM/wtNbV+aHvdXrIIrzcn9cy5dF1XNdzPz081jLl0b6zcb6obCpjeD/B+XSvI/k6F2TAgAACCCCAAAIIIIBAsQhEJYBeLN6UEwEEEEAAAQRKQEA3+3UDX62cunfv7lrt6oZxsOp6EEABdeVREFiB4eDy8LRuJKsllrp51jL99qe6eFcgUvOJBn8dtQjWcPDBB8e1rNc62q+2o9aMavWscimdAQEECluA60xhH598li4X50Iuyq8WuAqMnnjiiaZW/ppWWgb7KqhVisU/ERrfExKp5DatUM8XzoXcHne2jgACCCCAAAIIIFB8AgTQC+KYUQgEEEAAAQQQQKBiAXV7qhZbas3Vv39/Uxfm6t5d6RWvTQ4EEECgYgFdT7jOVOxEDgQyF2BNBBBAAAEEEEAAAQQQQACBQhcggF7oR6gYykcZEUAAAQQQQCAvAp999pmpu1m1ElJX3w899JCpJd+xxx5rCnrlpRDsBAEEIi3AdSbSh5fKIVB5AbaAAAIIIIAAAggggAACCJSAAAH0EjjIVLF8AZYigAACCCBQLAK77767TZo0yfS7m/ptT8/zXNGHDRtmP/zwg5vmBQEEEKiMANeZyuixLgIIFLoA5UMAAQQQQAABBBBAAAEEUhEggJ6KEnkQKFwBSoYAAgggUKICTZo0serVq7va6/c069Wr56Z5QQABBLIlwHUmW5JsBwEEEMiKABtBAAEEEEAAAQQQQACBPAkQQK8k9OTJk61Ro0ZJh4ULF1ZyD6yOQJQFqBsCCCCAQCoCy5Yts6uvvto6depkannes2dP13X7P//841Y/6qijrFmzZm6aFwQQQCATAa4zmaixDgIIIIBA6gLkRAABBBBAAAEEEEAgNYG//vrL1l577aSxV8Vlp0yZktrGMsxFAD1DOH81tcqYOnWqJRtq1arlZ2WMAAJRE6A+CCCAQJ4EFi1aZDVr1rTBgwfb8ccfb507d3ZduW+55Zb2zDPP2D333GM1atTIU2nYDQIIRFGA60wUjyp1QgABBBDImgAbQgABBBBAAAEEEMibgHranDFjRtLYq2KyjRs3zml5CKDnlJeNI4AAAoUrQMkQQKB4BBQ8v/LKK23cuHGmVqIalixZYqNHj7Zjjz021pV78dSIkiKAQKEJcJ0ptCNCeRBAAAEEEMieAFtCAAEEEEAAAQQQSE+AAHp6XuRGAAEEECgMAUqBAAIIIIAAAggggAACCCCAAALRF6CGCCCAAAIIIIBA3gUIoOedvDB3OGfOHGvVqpUbvv32Wxs1ahRDHg30Ww2+//Dhw7HPo/0o9sX5ViXnwKi8u6ub71HL6+qPNc0wKu/HYdTyY8AwCvcCPQ9GjhzpfhJgVIGWj3KN4r3DuZnROeB/9vvjUThm5IjbKNwK7L3z6aefumPCe5tzc1SBnZuUZ5R7b46KHZdRzEfQYtKkSYV5k59SIYAAAghkTYAAetYoi3tD9evXt7Fjx7rhzz//tG222YYhjwb63Vrf/5JLLsE+j/ac67zXS+UcuPfee9215dZbb3XjStWb9yiGnAORPAcOPPBAu+eeeyJZN655fN6X8jnQo0cP976+++673biULag714IonQO77767e0/ff//9bhylulEX3qucAwV0DvC3X8JrbHFHAig9AggggEAqAgTQU1EqsTz6XdUSq3JBVfe8886zXr16MWDAOcA5kNVzYKONNnLb0422Ur/GUH8+YzgHEp8D1157rW222WbuWoFRYiNccCnGc2C77bZz7+vWrVu7cTHWgTLz3uMcKHsO6MFYuTRq1Ij3Nn87cg5wDnAOJDkHdJ3MxVBQN5MpDAIIIIBATgQIoOeElY0ikLlAhw4d7Pzzz2fAgHOAcyCr50C/fv3c9tS6lGtMUV9j3XHkGHIMc3EOqBecRx55hHOMzx/OgYidA/fdd587pg8//LAb5+L6wTb5XOIcyP850LlzZ/eeHjBggBtzDPJ/DDDHnHOgdM+Bpk2bZn7zN/U1yYkAAgggUIUCBNCrEL+Qdr1kyRKrU6eOG7bffnubP38+Qx4NGjRo4Ox1DBYuXFhIpwZlQQABBBBAIIsCbAoBBBBAAAEEEEAAAQQQQAABBKIvQA0RQACB4hYggF7cxy9rpa9evXosYF67dm1jyK/BKqusEvOvVatW1o4rG0IAAQQQQACBLAqwKQQQQAABBBBAAAEEEEAAAQQQiL4ANUQAgZIXIIBe8qcAAAgggAACCCCACad4pQAAEABJREFUAAKlIEAdEUAAAQQQQAABBBBAAAEEEEAg+gLUEAEEKi9AAL3yhmwBAQQQQAABBBBAAAEEcivA1hFAAAEEEEAAAQQQQAABBBBAIPoC1BCBghAggF4Qh4FCIIAAAggggAACCCCAQHQFqBkCCCCAAAIIIIAAAggggAACCERfgBpGRYAAelSOJPVAAAEEEEAAAQQQQAABBHIhwDYRQAABBBBAAAEEEEAAAQQQQCD6AtQwJkAAPUbBBAIIIIAAAggggAACCCCAQNQEqA8CCCCAAAIIIIAAAggggAACCERfIJs1JICeTU22hQACCCCAAAIIIIAAAggggED2BNgSAggggAACCCCAAAIIIIAAAgjkWaAKAuh5riG7QwABBBBAAAEEEEAAAQQQQACBKhBglwgggAACCCCAAAIIIIAAAggUnwAB9HSPGfkLXmDcuHG28cYbm+d5VrduXfv8888LvswUEAEEEEAAAQQQQAABBBBAoMAEKA4CCCCAAAIIIIAAAggggEBJChBAL7HDHvXqzp4928444wz75Zdfol5V6ocAAggggAACCCCAAAIIIIBAUgEWIIAAAggggAACCCCAAAIIZCZAAD0zN9aqGoFy97ps2TJ78MEH7d133y03HwsRQAABBBBAAAEEEEAAAQQQQKCgBSgcAggggAACCCCAAAIIIFBlAgTQq4yeHWdb4JVXXrFu3bple7NZ3B6bQgABBBBAAAEEEEAAAQQQQACB6AtQQwQQQAABBBBAAAEEEChmAQLoxXz0KHtMYPz48XbppZfa0qVLY2lMZFmAzSGAAAIIIIAAAggggAACCCCAQPQFqCECCCCAAAIIIIAAAiUuQAC9xE+AKFR/wYIFdv7551utWrWsQYMGxj8EEgmQhgACCCCAAAIIIIAAAggggAAC0ReghggggAACCCCAAAIIVFaAAHplBVm/SgX0u+e9evWyL7/80nr37m3169ev0vKwcwRyJMBmEUAAAQQQQAABBBBAAAEEEEAg+gLUEAEEEEAAAQQQQKAABAigF8BBoAiZC3zyySd2yy23WI8ePaxFixaZb4g1EUAghwJsGgEEEEAAAQQQQAABBBBAAAEEoi9ADRFAAAEEEEAAgWgIEECPxnEsyVpMnz7dOnbsaEceeaS1a9euJA2oNAII5EGAXSCAAAIIIIAAAggggAACCCCAQPQFqCECCCCAAAIIILBSgAD6SghGxSWwePFiu+qqq2zRokV27bXX2iqrrFJcFaC0CCCAQJ4E2A0CCCCAAAIIIIAAAggggAACCERfgBoigAACCCCAQPYECKBnz5It5VHg5Zdftv79+9vNN99sG2ywQR73zK4QQAABBPIowK4QQAABBBBAAAEEEEAAAQQQQCD6AtQQAQQQQACBghIggF5Qh4PCpCIwbtw4u+yyy+yUU05x3bensg55EEAAAQQQyL8Ae0QAAQQQQAABBBBAAAEEEEAAgegLUEMEEEAAgagJEECP2hGNeH3UdbuC56uuuqpdeeWVVqNGjYjXmOohgAACCCBQRQLsFgEEEEAAAQQQQAABBBBAAAEEoi9ADRFAAAEEyggQQC9DQkIhCzzzzDP24osvWs+ePa1p06aFXFTKhgACCCCAAAJVKMCuEUAAAQQQQAABBBBAAAEEEEAg+gLUEAEEEMiFAAH0XKiyzZwIqOv2a665xi6//HLbb7/9crIPNooAAggggAACCBSAAEVAAAEEEEAAAQQQQAABBBBAAIHoC1BDBBAoUAEC6AV6YChWvIC6br/ppptszTXXtIsuusg8z4vPwBwCCCCAAAIIIIBAgQhQDAQQQAABBBBAAAEEEEAAAQQQiL4ANUQgugIE0KN7bCNVs99//93efPNN+/TTT22ttdZyAXTP8+LG6623nk2YMCGu3vPnz7ftttvO5bv11lvjljGDAAIIIIAAAggggEAZARIQQAABBBBAAAEEEEAAAQQQQCD6AtQQgXIECKCXg5PKookTJ9q6666bdFi4cGEqmyEPAggggAACCCCAAAIIIFBpATaAAAIIIIAAAggggAACCCCAAALRF4hyDf/55x9bY401ksZe1dD2t99+yykBAfRK8q6//vo2bdq0pEOtWrUquQdWRwABBBBAAAEEEEAAAQRKQoBKIoAAAggggAACCCCAAAIIIIBA9AXKrWGNGjVs5syZSWOv6rVajZvL3UglFxJAryQgqyOAAAIIIIAAAggggAACCCBghgECCCCAAAIIIIAAAggggAACCORDoHr16jndTfkB9Jzumo0jkLpA48aNbfz48bZs2bKkg7praNasWdxG69SpY5999plbp2vXrnHLmEEAAQQQQAABBBBAAAEEEFgpwAgBBBBAAAEEEEAAAQQQQAABBJxApAPoroa8IIAAAggggAACCCCAAAIIIIBApAWoHAIIIIAAAggggAACCCCAAALZEiCAni3J7G+HLSKAAAIIIIAAAggggAACCCCAQPQFqCECCCCAAAIIIIAAAggggEABCRBAL6CDEa2iUBsEEEAAAQQQQAABBBBAAAEEEIi+ADVEAAEEEEAAAQQQQAABBKIlQAA9WseT2mRLgO0ggAACCCCAAAIIIIAAAggggED0BaghAggggAACCCCAAAIIIBASIIAeAmG2eAUaN25s48ePt2XLlsWGefPm2f/93/8Vb6UyLDmrIYAAAggggAACCCCAAAIIIIBA9AWoIQIIIIAAAggggAACCGRfgAB69k3ZIgIIVE6AtRFAAAEEEEAAAQQQQAABBBBAIPoC1BABBBBAAAEEEEAAgYIUIIBekIeFQiGAQPEKUHIEEEAAAQQQQAABBBBAAAEEEIi+ADVEAAEEEEAAAQQQiKoAAfSoHlnqhQACCGQiwDoIIIAAAggggAACCCCAAAIIIBB9AWqIAAIIIIAAAgggkFSAAHpSGhYggAACCBSbAOVFAAEEEEAAAQQQQAABBBBAAIHoC1BDBBBAAAEEEEAglwIE0HOpy7YRQAABBBBIXYCcCCCAAAIIIIAAAggggAACCCAQfQFqiAACCCCAAAIFLkAAvcAPEMVDAAEEEECgOAQoJQIIIIAAAggggAACCCCAAAIIRF+AGiKAAAIIIBB9AQLo0T/G1BABBBBAAAEEKhJgOQIIIIAAAggggAACCCCAAAIIRF+AGiKAAAIIIJCCAAH0FJDIggACCCCAAAIIFLIAZUMAAQQQQAABBBBAAAEEEEAAgegLUEMEEEAAgfwIEEDPjzN7QQABBBBAAAEEEEgsQCoCCCCAAAIIIIAAAggggAACCERfgBoigAACRSNAAL1oDlVuCzp37lzbfffd3TBgwAA755xzGPJoMHHiRGevYzB16tTcHmy2jgACCCCAAAJZFGBTCCCAAAIIIIAAAggggAACCCAQfQFqiAACpSRAAL2UjnY5dV1ttdVsxIgRblhvvfXsgQceYMijQa1atZy9jkGjRo3KOVIsQgABBBBAAAEEsijAphBAAAEEEEAAAQQQQAABBBBAIPoC1BABBNISIICeFheZEUAAAQQQQAABBBBAoFAEKAcCCCCAAAIIIIAAAggggAACCERfgBoikG8BAuj5Fi/Q/f3111+22267uWHatGl2yimnMOTRYMGCBc5ex4Au3Av0TUKxEEAAAQQQQACB7AqwNQQQQAABBBBAAAEEEEAAAQQQiL4ANSxCAQLoRXjQclHkevXq2fvvv++GY445xvr168eQR4NmzZo5ex0DunDPxRnONhFAAAEEEEAAAQSyK8DWEEAAAQQQQAABBBBAAAEEEEAg+gKlWUMC6KV53Kk1AggggAACCCCAAAIIIFC6AtQcAQQQQAABBBBAAAEEEEAAAQSiL5BhDQmgZwjHaggggAACCCCAAAIIIIAAAghUhQD7RAABBBBAAAEEEEAAAQQQQACB3AkUSgA9dzVkywgggAACCCCAAAIIIIAAAgggUCgClAMBBBBAAAEEEEAAAQQQQACBghYggJ6Vw8NGEEAAAQQQQAABBBBAAAEEEEAg+gLUEAEEEEAAAQQQQAABBBBAIOoCBNCjfoRTqR95EEAAAQQQQAABBBBAAAEEEEAg+gLUEAEEEEAAAQQQQAABBBBAoEIBAugVEpGh0AUoHwIIIIAAAggggAACCCCAAAIIRF+AGiKAAAIIIIAAAggggAAC+RAggJ4PZfaBQHIBliCAAAIIIIAAAggEBObNm2cdO3a0hg0bmud5FQ7Vq1e3pk2b2n777We33XabjRkzxpYsWRLYYsWTkyZNsj322MPWXXdde/755yteoUhzLFu2zMaNG2dXXXWVbbXVVvb5559XaU10nEaOHGnt27e3ddZZx6pVq+bGRx99tD333HOmc0EFHDBggJ111lmaZEAAAQSKWYCyI4AAAggggAACCCCAQJEIEEAvkgNFMcsKPPjggxXeUPU8z+VZY4017Jtvvim7EVIqKcDqCCCAAAIIIIBAdgXq1q1rjzzyiP35558umK2gqr8HTV9++eUuuKoA69NPP22XXHKJNWnSxIYMGWJdu3a1zTff3OrVq+em58yZ469a7vj++++3ESNG2PTp091606ZNKzd/sS3UQwUKStesWdM23HBDu/HGG+3nn3+u0mrMnj3bBc533XVXe+aZZ2zPPfe0J554wq699lr7/fff7dhjj7XVVlvNGjdubCeeeKILpusBAOMfAggggEAVCbBbBBBAAAEEEEAAAQRKR4AAeukc60jV9J9//rG333475TrtuOOOtvHGG6ecn4wlIkA1EUAAAQQQQKCgBfbZZx/bdtttY2Xcfffd7corrzQFgzWo5bJanX/88cc2d+5cF3ivX7++LViwwLVGV/D1qaeeqrBFerNmzcz/t/baa1utWrX82UiMFTTv1auXvf7661anTp0qr9PixYvtoosucg9INGjQwD744AP3UIQC5eeee64NHTrUJk6caPvuu69NnTrVli5dapMnT3ZB9CovPAVAAAEEEChOAUqNAAIIIIAAAggggEAaAgTQ08Aia+EIqFXQZ599lnKBDjvsMKtdu3bK+cmIQDEIUEYEEEAAAQSiLrDKKquYWqRbCv/0Xe/000+3X3/91dq1a+fWmD9/vmu9rJbpCtq6xAQvp5xyiql3oyuuuMIFdVdfffUEuYo3SQ8E6GGCnXbaybbffvsqr4gC5I8//rgrx/XXX2+77LKLmw6+qFv+F154wQXRla7u3Ms7hsrDgAACCCCAQFQFqBcCCCCAAAIIIIBAfgUIoOfXm71lSUDdUE6YMCGlren3M9V6JaXMZEIAgXwJsB8EEEAAAQRyIqDvfgMGDLAzzzwztv0ePXrYXXfdZcm6AFfw/ayzznJdmytwG1uRiZwIvPLKK65VudzVU1SynehBBnXn37JlS9e9/sKFC5NlJR0BBBBAAAEECleAkiGAAAIIIIAAAkUnQAC9EodMN+BmzZplNWrUMLWOCQ9KV1eSyleJ3bBqAn3JY70AABAASURBVAH9xuUGG2zgbozq5mh5g34nU91WJtgMSQgggECGAqyGAAIIIFDIAvpefvvtt5u6fPfL2a1bN3vnnXf8WcZVJKAg+M8//5zy3vWd/+qrr7Y5c+a4IHrKK5IRAQQQQAABBBDIigAbQQABBBBAAIF8C+in3KpXr54w9qp7Poq/qqe6XJaLAHoldD3Ps2rVqtk///xj6k4wPChdB9jzPONf9gT0UIJ+J1GB8T59+lhFQ5cuXSL3O5bZ02RLCCBQkgJUGgEEECgBAbVe/t///ue+r6u6+uPrxhtvNH2X1DxD1QjobyT/j9wFCxbYxx9/XGFB9t9/f9t0001t0aJFFeYlAwIIIIAAAggggEBAgEkEEEAAAQSKUECx1yVLliSMvSoWq3sL+rm6XFaNAHoldevXr1/uFtQtYbkZWJi2wMSJE91vW7Zu3TrtdVkBAQQQQKD4BagBAgggkKrAbrvtZgq++vmHDx9u77//vj/LuAoE9AfuWmutFdtz9+7d7auvvorNJ5pYZ511bLPNNrOpU6cmWkwaAggggAACCCCAQEQFqBYCCCCAAALJBNSAOdmybKRXy8ZG2AYC+RT44osvXBeOY8aMsbfeessmTZpES6J8HgD2hQACCCBQGQHWRQCBPAroYdaTTz45tkf9tNLrr78emw9OqFX0k08+af/5z39s2rRpwUVx09rG559/bp06dTI90Nm8eXOrU6eOtWzZ0q655hr3PTVuhdCMvrvq54fWXntta9q0qa222mrWsGFD22mnneyggw6yKVOmhNZIb1bl04MC2taqq65qnudZkyZNXNlmz56d0sbUMvz555935dl8881NAWw9OLzT8jK+8MILpqfAU9pQgkzqZm377bePLfn999+tXbt2pu/2scTQhOd59thjj9nhhx8eWhI/q3I//vjjtsUWW7h6e57nfOUt9/jc/86pPtr/RRddZEcffXTsb4s//vjDunbt6vz09LuO9b333uuegPfX1pPvr7zyivu5AHlrOOyww+y7777zsyQc6zhleh6pG/zBgwfbwQcfbD169HDbVx1eeukl22abbVzddSPhuOOOc38ruQxJXmSWq2OdZJckI4AAAggggAACpSJAPRFAAAEEiliAAHoRH7xSLLpuNOm3K2fNmmVnnXWWHXjggbb++utbvXr13M2x0047zXUDqRtIpehDnRFAAAEEEMitAFtHoPgEFEzVd0W/5F9++aX99ddfblbBT/00kAKRCmQr2K6HNdXdu8sQelGQ/fTTT3fBbgWBR48ebePGjTMFWvfcc0+77rrrbLvttrPx48eH1lwx+8knn9hWW21l6623nk2YMMEFN1WWp59+2r7//vtyg8grtlD+659//ukCwHvvvbftvPPOLhivugwbNsy+/vprt2/Vv7ytKJC87bbbusDxbbfd5gLB06dPN7n42z/nnHPigsjlbS/RsmOPPdYFpf1lv/zyi2299db26KOPZhyc98t911132cUXX2zPPfecXXHFFa7b94cffth1Af/aa6/5u3Rj7bd9+/amBy30oMA999xjCujrb4mnnnrKmjVrZtqezhP9HTJ++XG94IILXJrmf/jhB9thhx2sbdu2rocsbVR5tZ9dd93VdLyVFh4yPY/08LD+/qlbt64LniuIrm7rdFyOP/54V45Ro0a53em4P/vss7bPPvskPR99Mz0kkKtj7QrDCwIIIIAAAggggEARClBkBBBAoLQFCKCX9vEvutrr5mR5N6L69u3rbmjqhqFuaBVdBSkwAggggAACCOROgC2XpECjRo1Mrb39yitwPXfuXDer1sr9+vUzPZzpEsp5UcD0lltuMf/7poLAauWrVRSAvfLKK11Q+Mcff7TLL7/cFNjUMn9Q6+8LL7zQ1l13XTv33HNd0FbLPM9zD4X26tXLBaXVIljp6Q7avso0aNAgU+BUreHXXHNN1xq5RYsW9swzz9hRRx1Vbgt5fdc+9dRTbezYsdaxY0cXcPfLoW3oAQHNP/TQQ6aW6JrOZNhwww1NwWq16vbXV+BZ+9T3+Ipab/vr+GMFto888kjXClx/K2g7akl+4403moLZ2s/8+fOtQ4cO9u233/qruR4AdPw1eJ7n0hVAP+GEE+zdd991Xcv//fffpgcI9KBFgwYNXJ6ePXta//79XcD65ptvdkF6tXDXsbvppptcHp1TCr6Hz4PKnEc77rijqZeEE0880e1DL6r7IYcc4s4rlV3b14MBu+++uxabzsfbb7/dlO4SVr7k61iv3B0jBBBAAAEEEEAAAQTyK8DeEEAAgUoKEECvJCCr51dAN/NSCYx/+umnrvtC3TDLbwnZGwIIIIAAAgggkBsBtpqZgFrrqscif20FGX/77Tc3q0Brnz59XMtndaPuEpO8KOA4cOBAt1QtfhVYdTMrXxSkV5BZswriKr+m/UEtwNVltwLoKpOf7o/3339/22CDDWzmzJl+UspjBUfvuOMOF/RVkPyII44os+4qq6xi3bp1c0H+MgtXJqh1+meffebmpk6d6sbBF3VTr+7qlaZeoTTOdFC37S+++KLr/j64DX2PV9f4Wq6gdHBZomkFrc8//3xTgFz1Uz2D+XbbbTeTrdJ07O+///5YMFndrdesWdMF3tUrgPKoVfYpp5xiarWu4+l5KwLrCuz7gevJkyebWqLrYYqDDjrI/AcpNFbX/uqFQNv68MMPy/wcgM6LTM+j1Vdf3T0M0rZtW23eDSrnJZdcYgrq64EJJeoBBQXv/WM1ZMgQ10uClvlDPo+1v0/GCCCAAAIIIIAAAgggkJoAuRBAoOoFCKBX/TGgBGkIqOVHuBVHstV1E+2kk04y3RxKlod0BBBAAAEEEEAAgbwIFPRO1LJYXbiXV0gFZv2u4DXWfLL8an2sIHtwuQLj+h6rAHGwFbSfR4F1P9Drp6U61vbuvfde19pcXcwnK1swyJ9o2wrs++tW9EDBlClTbOHChYk2k1Ka53mmQL++q6s7/PBKCq4rkK6W83pAILzcnx82bJhrZb7TTju5n3by0/2xegdQl/b+/Kuvvmr+AxR+mgLfGjTftGlT22OPPZyl5v3B8zzXLb4/r7Kr+3Z/3h/r3NCDEJqfMWOGhR9EkK/yaLnGmtd0oiHReaR8wXXUdfsxxxxTprwbbbSRqVt65Z84caIp6K9pf8jnsfb3yRgBBBBAAAEEEEAAAQRKQoBKIhAJAQLokTiMpVEJ3XCsVauW+33EJk2amLpirKjmuul09dVXm1qmVJSX5QgggAACCCCAAALRF9D3Sb9lbuq1NVPrX3X53qVLF9NY88nWV2BZD3MGl6sreQVzla6ApwLpweWa7tq1a1y36UpLZXj++edN33sVhN9kk01SWSVhHgWhFbBWN+SqZ8JMKxPnzZtXppv6lYvSGqm8aqk9aNAg23jjjePWnTNnjrVv395UFnXxHrdw+YwC6yqvxgrC16hRY3lq2f9bbbVVLFGB5F9//TU2n85E/fr1K8yuMig4rYw61uFgvc4bnT+qk8aaV95EQ6LzKFG+RGkKsvvlWLJkSZljVRXHOlE5SUMAAQQQQAABBBBAAAEECkuA0iCwQoAA+goHXotAQDejOnfubKNGjTJ156gbQQqMf/zxx6Z0tRxKVI333nvP0v0dxUTbIQ0BBBBAAAEEEECg+AQUeFWw1y+5Wpon+97o50k2VrD3tttuM439PAre6rvmeeedZyNGjPCTy4w322wzU3fiWqAWwWq9rG7AFSRWmgYFPBX41HSqg+r2/vvvu+zqclytzN1M8CXFac/zrG3btq6rd5XFX02Gr7zyip1zzjmuq3Q/PVtjtf4+8sgjTd3c33rrrRY26NGjh91www2xrtf9/ao7dHWXr/nLL7/ctcL2PK/M+JBDDlEWN+ih3OnTp7vpqnrR+ZPpeZStMnte1RzrbJWf7SCAAAIIIIAAAggggAACCCQQIClrAgTQs0bJhqpCQC2IdPPx7rvvNt0Ie/LJJy3cMkQtP/zfcqyKMrJPBBBAAAEEEEAAgaoTUIBZ3Y37Jdhiiy1sjTXW8GczHiuoPGDAANtyyy1NQd9zzz3Xdt1116TbU+BeQdPg77Gr23XN9+/f37S9pCuXs0AB+B9//NHlUCDa8zw3nY0XBajVKl5dqeu3wa+//voyv1mejf3421AL/csuu8z0s01y8dM1VgBdQXxN+4Nak+thBM2//PLLLsCuBxoqGtq1a6dVCmLQcU/nPMpVofN9rHNVD7aLAAIIIIAAAggggAACCCBQvAKFVHIC6IV0NChLpQTUUuXEE0+0r776yrbbbru4bU2YMCFunhkEEEAAAQQQQACB0hAYO3Zs3G9eq6tvPYSZae3VC9LTTz9t66yzjg0fPtz0G9z9+vUzBZkr+omhNm3auHWC31UVAD/ppJNc8P2HH35Iu1jqIvz3339Pe73yVlCZ1Dpev6OtBwT0G+sKbK+11lrlrZa1ZTpGI0eOjPtOv3TpUrvvvvvifppp0aJFsa7J5ZC1AmR3Qwm3VpnzKOEGM0ys6mOdYbFZDQEEEEAAAQQQQAABBBBAAIGcCmQQQM9pedg4ApUWaN68uemmZuPGjWPbmjZtWmyaCQQQQAABBBBAAIHSERgyZIhrmawar7rqqnbggQdqMqPhzz//NHUHroD3XXfdZb1797Y111wzrW3pu6oC72q1rgdA/ZX1m+g77rij+V2S++npjGfMmGH63ex01gnn1e+R67fIX3/9dfvoo49MdQ2WM5w/nXmV7aGHHjK1dq5ovaZNm1rfvn0tGLT/5ptv4tadPXt2rL4K8le0zUJZno3zKBt1Se1YZ2NPbAMBBBBAAAEEEEAAAQQQQACB4hIovQB6cR0fSpuhQIsWLeyss86Krd2yZcvYNBMIIIAAAggggAACpSGg7r2fffbZWGUPOOAAUyvwWEIaE3PnzrX27dvbW2+9ZaeddpoLLHteZt2l+12Vq2v5888/P1aKWbNm2YUXXmgKDMcSK5hQd/T+TxipvurWvIJVki7+8ssv3QMCCnDffvvtttlmmyXNm8mCmjVr2tChQ93Drqmsv/nmm9thhx0Wyzpz5kwLPhirustSGfTgQTpuWqcqhmyeR5Upf66PdWXKltV12RgCCCCAAAIIIIAAAggggAACGQgQQM8ArSpXYd+pC6gFj597q6228icZI4AAAggggAACCJSAgH4Hu0+fPvbTTz+52tapU8euuuoq8wOuLjGNl/fee8/efvttt4ZaodeoUcNNp/ryzjvv2ODBg+Oyq/V6r1693HYbNGjgln3++ef29ddfu+lUXhQ8b9iwocv6119/uVbjbibNF3n17NnTFMRfb731bIcddkhzCxVn9zzP1AL/gQcesOnTp1e4gud51qpVq1g+1VVBcz9h3XXXNX9eAXS1qPaXJRsryH7OOedYZR40SLbtVNIrex6lso+K8uTjWFdUBpanJkAuBBBAAAEEEEAAAQQQQAAXIa9BAAAQAElEQVSBqhEggF417qW610rXW61q3n//fVPLjYo2Vq9ePdONTd1023bbbSvKznIEEEAAAQQQQACBCAkMHDjQbrrppliNrrnmmkoFhRUA9zeWSZfmCxYsMHWL7m8jON5vv/1MXcIr7Z9//jG1tNZ0KoOC8HvvvXcsq37KKJXvyrEVVk6o1bmC0JqtXr26adB0todmzZqZult/5JFHTIHcirav3+j282y99dYW/Jkmde+uNC3XtnS8FSDXfKJh8eLF1qVLFxfEb9KkSaIsOU+r7HmUjQLm61hno6xso6gFKDwCCCCAAAIIIIAAAgggULQC1Yq25BS85AT0e4m64bb77rubguPqOnPq1KlJHUaNGmW6Adm5c2dT65SkGVNeQEYEEEAAAQQQQACBQhdYsmSJPfroo3b88cfb0qVLXXE7depkF198sXme5+YzeQkGZt98880ywV99L/3hhx/K3bQeBFXwMlGmLbfc0tRKXi3RN9xww0RZEqZ5nmfHHXecrbrqqm75sGHD7L777itTPi38/fffTQ+kanrRokWmoL6mNSi47Afeleerr75SctwwZswYmz9/flxaujP6Pq911BuAHnLQdLJBVn6rf+U56aST4noQqFWrlnXs2DF2XEeMGGFHHXWU6Vgof3BQIP6MM86wX3/91XQ+BJflczob51Fly5uvY13ZcrI+AlUrwN4RQAABBBBAAAEEEECglAUIoJfy0S+iuuvmXv/+/eNK3LdvX9ONRt1UU4uT4MIff/zRteLZf//93e9TBpeV7DQVRwABBBBAAAEEikxg4cKFNmPGjFipFRwPf+/zFyp99OjRdvDBB7ugqoKEail+zz332L333mua9vOGx9quBqVrrEHTwWGXXXaJzd5///328MMP299//22//fab3XDDDXb44Ye73o+USUFmBZtVBgV1VQ+lf/nll6bvsJoOD6qnvvPq++umm24aXlzu/M4772ynn356LE/Xrl2tW7dupqCxrfyn78fHHnusCyArSQ+a3nzzzTZgwABTWdUV+hZbbKFFLvh+3nnnmR5IVR0VTG/Xrp316NEjFqjXwwIKVKsr9s8++8ytl8rLOuus4x4U0MMNp5xyitu/jl14Xdmpe/tPP/3ULTrzzDPdgwJuJvAidwXG/aR3333X1LpcgXS1ctdw4oknWqNGjUxdvOu4rb766n72jMfyS1TuijaYjfOoon1oucqW6DzWsnwda+2LAQEEqkiA3SKAAAIIIIAAAggggEClBAigV4qPlfMloC4k69atW2Z3akVzwAEH2IEHHmi6OTl+/Hjr3bu3bbfddqZu25977jlbbbXVyqxHQvEJUGIEEEAAAQQQKC0BBQAVDB07dmys4iNHjnTdsj///PPmD7fddpu1bdvW9VCk7rz1cGXt2rXtv//9r+m74YUXXlhhd+QffPCBC4RrRwqIf/PNN5qMGw499FDTTwMpUcHfs846y2rVquWCtQrcaxvBIPbJJ5/sgs0K2tasWVOrueGyyy4z9aykALFLWP6i9RWw/r//+z+78847yw32L89e5r9+tqhnz55xLatvvfVWU6BYAeuGDRu6sqsF92677RZbX8Fp1VWt3lWXs88+26pVq+aW//LLL7bNNtu4Om6//fa21157mY6H0pRhypQp1rJlS1OwXx5KS2VYb731TF2v64EGz/NcTwH63t6vXz9TkF/H7Mknn3Td7Xfv3t1tUmM9CKF1XELgRWnq/r5Dhw6xVJVHrdsVWNfw1FNPWZs2beytt96yDTbYIJbPn9A5puOueT10oJbvmg4OOh/Vg4Cf9tFHH7nzy5/3x1pXDyT48+oWX+v685U9j7StYDm0L+3T374//u677+yLL75ws/4DHW5m+Uu+jvXyXfEfAQQQyEiAlRBAAAEEEEAAAQQQqGqBFXdHqroU7B+BCgTUJaVunOlmW6KsulG6xx57WPPmze2KK66wBx54wLVm0U3DRPlJQyDPAuwOAQQQQAABBFIUmDdvnp177rnWtGlTa9++fawbdq2uwOgtt9xixxxzTGxQa2sF1tV6ukuXLq6VsbrJVmvpxo0ba7WEg1qF33777bbPPvvYCSec4FpdK6MClApyKl2tl5WmQeXRd04FZPVgpwblUyD1mWeeMQWptWyv5YFmBaFbt27tgvwqk+d5LjCt4LWC2Cpb8+XfW7VNlfHII4+0iy66yIYPH+7qbRn8UyBZXberPOrSXa2MtRm1lNb2FVBVd+fa55VXXulaok+bNs21nlcZlFetuYcMGWK77rqre+hAwe7ggwiq4zXXXGNK1/5U/48//tgFu7V+KoMebt1hhx3s22+/tb/++suVQ93ty0QPKMhFDx8ooK3zQIH8q6++Oq7r9vB+dCzUslwPMahMft1VL1koXQ/batvBdd944w13HulhXDlp2axZs1x9tJ6W++eJgvx6WEN5NKhcqsepp57qWuprPZW3RYsWpgcTlEeD3zuBzjVtS/6ZnkeDBw92DwkHy6F9bbbZZu7hiXHjxtm45YN+6mrvvfeO625fpjo3R40apWK5HhNyfazdjnhBAAEESk+AGiOAAAIIIIAAAghEQIAAegQOYqlUQa3K1TpEN9A23njjuGr7N8f0e5Rqla6bcGq1HpeJGQQQyFCA1RBAAAEEEMifgIKhCgRPnjzZFMxOZVA34gocK7C40047pdSCW61wFdx+7733TF1dB/ejeaUr4BysuYKfaj0+d+5c0/Dqq6/ajjvuaJ7nuWxarqCk1lfLbnUj7nkrlimwqyCuWlrrO63qN2nSJFNL7l9//dUuuOCCcoPEbgcVvHie58qjbtn//PNP56fxY4895lqKy1atsRXUVTDZ81aUzd+s53mmh1LVwlkBZZVRgW191/bzqIt8pS9atMhU/0022cRflNK4Xr16pl6i1Hrd8zz3AKxa5asVvtz846DgvnqW2nDDDVParr77q3t0lUl11nYUhJeF0rU8vCHVRWVRXZTfH9RiWw9FaLl/nqj7fX+5P9Z5p+Op1u0NGjQwnbczZ8507n4ejVUmnWvalsqg8yST80jlSVYOPUCsY6pBx1t10L6Dw9ChQ01lVRk8L/fHWvthQAABBBAoNgHKiwACCCCAAAIIICABAuhSYCgagTXXXNPUEv2nn36KuzHl3xxTd+5qDVM0FaKgCCCQewH2gAACCCCAAAIIIIAAAggggAAC0ReghggggAACCCCAQJYECKBnCZLNIIAAAgggkAsBtokAAggggAACCCCAAAIIIIAAAtEXoIYIIIAAAgggUDgCBNAL51hQEgQQQAABBKImQH0QQAABBBBAAAEEEEAAAQQQQCD6AtQQAQQQQACBSAkQQI/U4aQyCCCAAAIIIJA9AbaEAAIIIIAAAggggAACCCCAAALRF6CGCCCAAAIIxAsQQI/3YA4BBBBAAAEEEIiGALVAAAEEEEAAAQQQQAABBBBAAIHoC1BDBBBAAIGsCxBAzzopG0QAAQQQQAABBBCorADrI4AAAggggAACCCCAAAIIIIBA9AWoIQIIIFCIAgTQC/GoUCYEEEAAAQQQQACBYhag7AgggAACCCCAAAIIIIAAAgggEH0BaogAAhEVIIAe0QNLtRBAAAEEEEAAAQQQyEyAtRBAAAEEEEAAAQQQQAABBBBAIPoC1BABBJIJEEBPJkM6AggggAACCCCAAAIIFJ8AJUYAAQQQQAABBBBAAAEEEEAAgegLUEMEcihAAD2HuGwaAQQQQAABBBBAAAEEEEhHgLwIIIAAAggggAACCCCAAAIIIBB9AWpY2AIE0Av7+OStdHPnzrXdd9/dDYMGDbI+ffow5NFg4sSJzl7HYOrUqXk77uwIAQQQQAABBBBAAIEsCrApBBBAAAEEEEAAAQQQQAABBBCIvkDka0gAPfKHOLUKrrbaajZixAg3NGzY0M4++2yGPBrUqlXL2esYNGrUKLWDRi4EEEAAAQQQQAABBBDIogCbQgABBBBAAAEEEEAAAQQQQACB6AtUXEMC6BUbkQMBBBBAAAEEEEAAAQQQQACBwhagdAgggAACCCCAAAIIIIAAAgggkBWBgg6gZ6WGOd7IkiVLyt1DRcvLXTmPC+fPn2977rmnG6ZPn269evViyKPB33//7ex1DOjCPY8nPrtCAAEEEEAAAQQQQACBghCgEAgggAACCCCAAAIIIIAAAggUigAB9EoeiRkzZliDBg1M3Z6HBpe2aNEiK4Ygep06dWzYsGFuOProo+38889nyKNB06ZNnb2OAV24V/JNyeoIIIAAAggggAACCCCAQH4F2BsCCCCAAAIIIIAAAggggECWBGbNmmW1a9d2cdZEsVelTZs2zXL5jwB6JXUV7NSB/PPPPy3RoANcvXr1Su6lKlZnnwgggAACCCCAAAIIIIAAAgggEH0BaogAAggggAACCCCAAAIIFI6AGi4vWLAgYdzVj8Wuu+66OS0wAfSc8rLxKhNgxwgggAACCCCAAAIIIIAAAgggEH0BaogAAggggAACCCCAAAIIZFmAAHqWQdkcAtkQYBsIIIAAAggggAACCCCAAAIIIBB9AWqIAAIIIIAAAggggAAChSdAAL3wjgklQqDYBSg/AggggAACCCCAAAIIIIAAAghEX4AaIoAAAggggAACCCAQSQEC6JE8rFQKAQQyF2BNBBBAAAEEEEAAAQQQQAABBBCIvgA1RAABBBBAAAEEEEAgsQAB9MQupCKAAALFKUCpEUAAAQQQQAABBBBAAAEEEEAg+gLUEAEEEEAAAQQQQCBnAgTQc0bLhgtFYPHixTZ58mSbM2dOoRSJciCAQBIBkhFAAAEEEEAAAQQQQAABBBBAIPoC1BABBBBAAAEEEChkAQLohXx0KFtGAgsXLrTBgwdbhw4drEmTJlazZk3bddddbcyYMRltj5UQQACBFAXIhgACCCCAAAIIIIAAAggggAAC0ReghggggAACCCAQcQEC6BE/wKVUvV9//dU6duxodevWtYMPPthef/1169y5s82YMcPGjRtnO+64YylxUFcEEEAgTQGyI4AAAggggAACCCCAAAIIIIBA9AWoIQIIIIAAAghUJEAAvSIhlhe8gLpmv+CCC2yjjTayRx991JX35ptvtvHjx9tll11ma665pkvjBQEEEEAgwgJUDQEEEEAAAQQQQAABBBBAAAEEoi9ADRFAAAEEEMiDAAH0PCCzi9wJjB492rUsv/fee91O6tSpYy+++KJ17drVateu7dJ4QQABBBBAoNAFKB8CCCCAAAIIIIAAAggggAACCERfgBoigAACCBSHAAH04jhOlDKBwGuvvWY777yzjR071i2tVq2aPf7443bEEUeY53kujRcEEEAAAQQQyLkAO0AAAQQQQAABBBBAAAEEEEAAgegLUEMEEECgZAQIoJfMoY5WRQcOHGj/+c9/bP78+bGKqRv3du3axeaZQAABBBBAAAEEKhYgBwIIIIAAAggggAACmJkrRwAAEABJREFUCCCAAAIIRF+AGiKAAAKpCxBAT92KnAUiMH78eLv88stt8eLFsRK1aNHCLrnkElqex0SYQAABBBBAAIGSEKCSCCCAAAIIIIAAAggggAACCCAQfQFqiAACeRUggJ5XbnZWWQEFzbt06WI//vhj3KZOPPFEW3/99ePSmEEAAQQQQAABBBAobAFKhwACCCCAAAIIIIAAAggggAAC0ReghggUmwAB9GI7YiVe3qFDh9oLL7wQp1CnTh07/PDD49KYQQABBBBAAAEEEEAgxwJsHgEEEEAAAQQQQAABBBBAAAEEoi9ADUtQgAB6CR70Yq3yP//8Y48++qgtXbo0rgpbbbWVjRs3zi688EI766yz3PDggw/axIkT4/IxgwACCCCAAAIIIIAAAr4AYwQQQAABBBBAAAEEEEAAAQQQiL4ANcxEgAB6JmqsUyUCCoiPGDGizL4/+ugjO/roo61Xr1720EMPuaFTp07WrFkzF1SfN29emXVIQAABBBBAAAEEEEAAgSIWoOgIIIAAAggggAACCCCAAAIIIBB9gSqqIQH0KoJnt+kLjB071iZPnlxmxccee8y1Sp87d65dddVVccsVVD/yyCNt9uzZcenMIIAAAggggAACCCCAAAJVJcB+EUAAAQQQQAABBBBAAAEEEECgcAWyFUAv3BpSssgIjB49ukxd6tSpY1tuuaV5nmd169a1K664wg488MC4fO+++67dddddcWnMIIAAAggggAACCCCAAAIIZCTASggggAACCCCAAAIIIIAAAghEWoAAuju8vBSDwI8//limmGussYatu+66sfTatWvbf/7zn9i8P/HMM8/YtGnT/FnGCCCAAAIIIIAAAggggAACJSlApRFAAAEEEEAAAQQQQAABBBAoX4AAevk+xbG0REq5ePHiMjWtXr26aQguaN26tdWoUSOYZN9//719/fXXcWnMIIAAAggggAACCCCAAAIIIFBUAhQWAQQQQAABBBBAAAEEEEAg5wLVcr4HdoBABQLZXlyvXj1TS/TgdpctW2Y///xzMIlpBBBAAAEEEEAAAQQQQAABBBDIowC7QgABBBBAAAEEEEAAAQSKQYAAejEcJcroBDbffHM3ruhlnXXWMXXtHs43a9ascFI25tkGAggggAACCCCAAAIIIIAAAghEX4AaIoAAAggggAACCCCAQIkIEEAvkQMdhWo2bdq0UtVo0KBBpdaP5srUCgEEEEAAAQQQQAABBBBAAAEEoi9ADRFAAAEEEEAAAQQQQCBVAQLoqUqRr8oFWrVqZXXq1Ikrx6JFi2zBggVxaYlmPM+zjTfeONEi0opZgLIjgAACCCCAAAIIIIAAAggggED0BaghAggggAACCCCAAAJ5FCCAnkdsdlU5gRYtWtiWW24Zt5E5c+bYzJkz49ISzay33noE0BPBkFalAuwcAQQQQAABBBBAAAEEEEAAAQSiL0ANEUAAAQQQQAABBIpLgAB6cR2vki7t6quvbh06dIgzmD9/vk2fPj0uLdFM27ZtrXnz5okWkYYAApkJsBYCCCCAAAIIIIAAAggggAACCERfgBoigAACCCCAAAIlJ0AAveQOeXFX+Pjjj7d99903rhJjxoyJm1dAPdgqfa211rJzzjnHPM+Ly8cMAgiUsgB1RwABBBBAAAEEEEAAAQQQQACB6AtQQwQQQAABBBBAIH0BAujpm7FGFQqoFfojjzxiLVu2jJXirbfesgULFsTmZ8yYYXPnznXz1apVswceeMBat27t5nlBAAEEIiFAJRBAAAEEEEAAAQQQQAABBBBAIPoC1BABBBBAAAEEqkSAAHqVsLPTyghssMEGpqD5zjvv7Dbz9ttv21NPPWVLliyxP//802666SZbtmyZ1a9f31566SVr166dy8cLAggggEBhCFAKBBBAAAEEEEAAAQQQQAABBBCIvgA1RAABBBBAoFgFCKAX65Er8XI3b97cRowYYa+++qrtv//+1rlzZ6tRo4atueaapi7c77jjDps4caIddthhdN1e4ucK1UcAAQSyLMDmEEAAAQQQQAABBBBAAAEEEEAg+gLUEAEEEECghAUIoJfwwS/2qlevXt0OPfRQGzx4sOuyXa3ONXzzzTd2ySWXuBboxV5Hyo8AAggggEB2BdgaAggggAACCCCAAAIIIIAAAghEX4AaIoAAAghURoAAemX0lq87YcIEa9y4cdJhwYIFy3PxHwEEEEAAAQQQQKDSAmwAAQQQQAABBBBAAAEEEEAAAQSiL0ANEUCgpAX++usva9CgQdLYq+KykydPzqkRAfRK8jZr1symTJmSdKhdu3Yl98DqCCCAAAIIIIAAAlEQoA4IIIAAAggggAACCCCAAAIIIBB9AWqIAAKVE6hXr57NmjUraexVcdkmTZpUbicVrE0AvQIgFiOAAAIIIIAAAggggIBBgAACCCCAAAIIIIAAAggggAAC0ReghgggsFyAAPpyBP4jgAACCCCAAAIIIIBAlAWoGwIIIIAAAggggAACCCCAAAIIRF+AGiKQHQEC6NlxZCsIIIAAAggggAACCCCAQG4E2CoCCCCAAAIIIIAAAggggAACCERfgBoWjAAB9II5FBQEAQQQQAABBBBAAAEEEIieADVCAAEEEEAAAQQQQAABBBBAAIHoC0SphgTQo3Q0qQsCCCCAAAIIIIAAAggggEA2BdgWAggggAACCCCAAAIIIIAAAghEXyCuhgTQ4ziYQQABBBBAAAEEEEAAAQQQQCAqAtQDAQQQQAABBBBAAAEEEEAAAQTSFSi+AHq6NSQ/AggggAACCCCAAAIIIIAAAggUnwAlRgABBBBAAAEEEEAAAQQQQKAKBAig5xm9UHc3e/Zs23zzzd3w1Vdf2aeffsqQR4PJkyc7ex2DqVOnFuppQrkQQKCIBfr162fXXnutu7YPGTLEjbnW81nHOcA5EDwHhg0bZrpWBNOY5hzhHCj+c8B/X/tjjmn+jinWWOfyHBg5cqT7Ts97m/Msl+cZ2+b84hxIfA689tpr7h6LrsEaivh2EUVHAAEEEEgiQAA9CUypJa+++ur23XffuUHB9B122MESDKTlyGXVVVd19joGjRo1KrXTj/oigEAeBC688EJ78skn3XW8bdu2bsx1ns86zgHOgeA5cNhhh9mDDz7I9SFH3/eC1kzz3svnOdC7d2/3vn7ggQfcOJ/7Zl9Ffa5zvhT458E+++zjjtFjjz3mxrzfeL9xDnAOcA7k7xw488wz7amnnrIOHTrYqFGjjH8IIIAAAtETIIAevWNKjZIKsAABBBAoXYF11lnH9LDU/fffb927dzeNGe7HYfn5wHnAeeCfAzfccIO1bt2a9wXvC86BiJ0DO+64ozumW221lRv773nGXP+jfQ5E//jecccd7j3dpEkTN+Z4Rv+Yc4w5xpwDhXMOqJGCehIt3btM1BwBBBCIvgAB9OgfY2oYFQHqgQACCFRCQL1bnHjiidapUye76KKL3FjTDJ2wWH5OcB5wHugc6Ny5sz300EO8J3hPcA5E7Bzo1auXO6bqYULvdQau+ZwDRXAOpHAdOv/88917u3///m7McY3GceU4chw5B4rjHLj88svtnHPOcXdpdt55ZzfmBQEEEEAgWgIE0KN1PDOuzdKlS03diGvQh/6iRYuMIX8GDRs2jPn/888/GR/HQl6RsiGAQNUKLFu2zHStr9pSsHcEEEAAAQQQQAABBBCIugD1QwABBEpBYMmSJe5+rsalUF/qiAACCJSaAAH0UjviSepbrVq1WMB8lVVWMYb8GlSvXj3mX6NGjSRHieQqFGDXCBS9gOd5pmu98Q8BBBBAAAEEEEAAAQQQQCCZAOkIIIBASgL+/VyNU1qBTAgggAACRSVAAL2oDheFRQABBDIRYB0EEEAAAQQQQAABBBBAAAEEEIi+ADVEAAEEEEAAAQQQyIYAAfRsKLINBBBAAIHcCbBlBBBAAAEEEEAAAQQQQAABBBCIvgA1RAABBBBAAAEECkSAAHqBHAiKgQACCCAQTQFqhQACCCCAAAIIIIAAAggggAAC0ReghggggAACCCAQHQEC6NE5ltQEAQQQQACBbAuwPQQQQAABBBBAAAEEEEAAAQQQiL4ANUQAAQQQQACBgAAB9AAGkwgggAACCCAQJQHqggACCCCAAAIIIIAAAggggAAC0ReghggggAACCGRXgAB6dj3ZGgIIIIAAAgjkQGDq1Kl22GGHWfXq1c3zvDLDaqutZjvttJO98cYbSfe+cOFCu/rqq61JkyZl1m/VqpW9+uqrSdfNdMHixYvto48+sj59+pj2n9Z2qijzrFmzrGPHjrbOOuuUcapWrZoNHjw445L9888/dvzxx5fZrud51qJFC7vvvvvS2rbOC23vwAMPtClTpqS1bjqZJ02aZHvssYetu+669vzzz6ezKnkzFPj777/debjqqqsmPF+U3qZNG3vwwQfL3YPOKZ1bnhd/3dB1QMvKXTmDhUuWLLExY8bY3XffbXovZbCJKllFFi1btkx4jT3//PNt2bJlGZdrwIABCY9hw4YN3TGuyEn7/uqrr+y1116zefPmZVyORCvqGt2tWzerU6eOXXzxxbZgwYJE2UiLiIDOpWTfAzwv/hrheRXPv/LKKwUjo3NZ3zc6depkW2+9dU4/Ewum0hQEgUoK6PPpkEMOyfja73/md+3a1f0dksvvopWsKqtXQmDatGnWo0cP09+L+i5SiU1lvOqgQYPc30qeV/Fnk74jq6xnn322vfXWW6bPh4x3zIr5FWBvCCCAAAIFJ0AAveAOCQVCAAEEEEAAgbBAo0aNXID7+++/NwV5gsu32WYbGz9+vAtUH3zwwcFFcdO1atWy6667zhQMVXDLX3jrrbe6gJcC9H5apmPdSPv5559dUG+fffYx7XPnnXe2p556yhQ8znS7+VyvQYMG9sgjj9j06dPtgw8+MM37+1fw4dFHH03pRoy/TnA8duxYCwfgN9poI/vhhx/sp59+snPPPTeYvdxpHfP99tvPdPNTN4dGjRpVbv7KLLz//vttxIgRzkQ3SXUjrTLbY92KBWrWrOnOQz0ksffee8etsPbaa9u3335rOua6ORi3MDSjc0rnlgJdnue5pWeeeaaNGzcurfPNrZjgRe+J3377zZ588kk7+uijrXbt2rb55pvbXXfdlfEN+QS7yXmSnH788UebMWOGhb0HDhxouq5lUggFpPv27Ru3qud57pr4xx9/uGMcvMbEZVw+I9/evXvbtttu6x6iquiBieWrpPX/448/tjvuuMMdq7vvvtuGDh2a1vpkLi4Bz/Pc94DJkye77xQKMvg10ANiN9xwgz333HNJhyuuuMI23nhjf5WCGOuBHT1E5n/f0Htk1qxZBVE2CoFAIQv4n0/vvvuu+z6RTll/+eUXa9++fewz/7bbbuOhlXQAiyCvHobQ98U11ljD9HfopZdeavo7dOnSpVVS+rZt27q/lQVykBsAABAASURBVPRdLfy3sL7D+Z9d+s6kv4eVTw9w6/Nh9dVXdw8AlFogfc6cOfb7779XyfEq1Z1SbwQQQCCKAgTQo3hUI1ynK6+8MmELFs/zKkzXDfYI01A1BBBAoCQE1JJUwQ7d6PYrrFbpwXk/PdnY8zxT0FbLd9xxR1MAzvM8zVZ6WLRokQsGq0X8zJkzrapuslS6Iis3sMMOO9i+++67cm7F6KWXXrLPPvtsxUyar2q9Hb6xf+ihh5Z5KKKizSp4rvUURFXeTp06mYLpms7SELeZZs2axeYVvK1Vq1ZsnoncCqiVslr9NGjQILYjvec1xBJSmGjcuLG70a2W52pxvMoqq6SwVsVZ9NCMHgCpUaOGC8IW+81JeasHimDNdRNZDwgE01Kd1kMOQ4YMicu+2Wab2f777+++u8ctCM34wfPOnTu7a6nOgd122y2Uq3Kza665ptWvX99tRMFU7cPN8BJ5gb322st23333WD2bNm1qp59+unsQRg/DJBpuvPFG98DdVVddFVuvqic22WQTe/nll61v374VvqequqzsH4FCEvA/n/TdvX///mn1tLLeeuu5B+X04JXnZedviEKyoSxma621lumhqvfeey/2d2MhuOhv4YMOOihWFPWgE/zsUjBdf6speHzttde6fHpYRA8AnHDCCTZ79myXVuwvqlP37t1dD0J6yEF/K4S/g7/++ut2xBFHRKbOxX7MiqD8FBEBBBBIKEAAPSELiYUooK5v9UdOJmXTzVIFSTJZl3UQQAABBApLQIEXdbfol0qfDX4g1U+raPzdd9+5LCeddJLpqXw3k4UXtT7VU/8nnnii9erVyxRUy8Jmq2wTKn/dunXj9p/JjUZtQK22n3nmGVPg0vP+vdmoz2gtT3UIBs/VElAth9T9tLab6jbSzXfKKae4XgXU+lAPAWTznEm3LKnlj1YuddV+6qmnxiqlVukffvhhbD6VCbU4nT9/vqkFT/PmzVNZJaU8eo8oEKeWaHrPq5VSSisWcCY/oBwsot67eg8H0yqaVgBcQQnd0Ay+P1N5CEXr9uvXz/zguR7k+frrr00P9VS033SWq4vTF1980S644AJ7++23XRe86axP3uIV0Gdbup8/qq3OZQUrMllX62d70MNE6rFDD5Gtv/762d4820tTQMGpzz//PM21yJ5vAX3G6PNJ32m170GDBrmeaTSdyqAHKfVg3n/+8//s3Qm8r1O9P/C11JXb4J6iOio6hlBSRyiNKJXcigZSUlSklExJGlDIEDdEacBNhmvKUBkqoaiEKLcuVxxS3DS4aND/0v+8n2Ptnv3z+/32b3j2Pnv/9ne/9vo961nTs9bnWeN3el6XZvq4u/rqq1OrcGsvGIx6GnO9TzexdNa08N6w2PWy/ljjfLLkgAMOGHucM4wzk/4/FjgDPffee296wxvekPbZZ59KeFX/JSDwrGc9K7GahHbM4tyBBx6YXvGKVzR61p+BcEWVA4FAIBAIBIZEIBjoQwIY2acOAZukBQsWDPRA2gUz/WAzUMMjUyDQDwKRNhCYIQhgUu+4445jmlZMo7My0isxgMQ6jUjEB1rMk9Vs9aTROFnlT2W52oHpVZ7ZL6FRPpjT1KW5Bxth/bo68xyhBEONqfyc/8GQ77fMXtKr7/bbb59oH9JS7CVPpGkOgZxzete73pXq2sEnnHBCRTTr5SnmBmb+9WPCLTlPTn/RTzyjlzrNhDTFUoe6+vyCMczfq7NvN1fAfL311us1W6UFiHlOE541D5/AuOCCC9JkjL2cc3rJS16SjjjiiOqa8+T0jZ4bHwlnBALz5s1L66+/fvL5hhlR4ajklCBgrcGc+va3vz0lz4uHDI6AzxQRwCwlELI79dRTy+2suS5YsCDtsccePe+nZg0wI9LQnHNlWYWwYGkSE+/2Z+V+Jl5ZRSL84lNA6MTHHXdcYi3MXhVj3X4c/Zfg7LbbbjsTmxh1DgQCgUAgEJhGCAQDfRq9jKhKdwQcan71q191T9QhdtNNN53xWoAdmhbBgUAg8CACcZldCDz/+c8fp4mISbNgIRGoFxRorGMEbbbZZmneQiJ4L3lmexpatTTuCg7W5H4IjYQWmJddd9110wtf+MJSTF/XwjxnqpDFgUMOOaQyyd1XIZF4xiKA+Fc3WWkMG8u9NMjcYI7YcMMN0/z583vJEmkWIoDoOGfOnIW+Rf+f//znE0LloruJf7/xjW+kO++8M7H00etnNjCgzC2+O4oIevPNN6c3v/nNiZbtxE+MFIHA1CCQc676NYL91DwxnjITEMA4JyQ4E+o62+toD2FfaW9RsLBP7dfSSsk7E6/25qyv+Fb2TKy/OoebGAFa9PWzlzMcRvPEOadnCv3W/pIgtc8O0bTfZpttEqFqwiCY52pOierrX/96eupTn+o2XCAQCAQCgUAgMDACwUAfGLrIONUI/PKXv0z33HNP34+lYRjm2/uGLTIEAoHA1CIQT+sTASa03/e+943lQgzAdBkL6OKhycikMAZ6zqFt2AWqcVG+IWdNLYH9EBoxOhErMdLqDLlS1kTX+++/v9L0w8BjuvsZz3jGRFkifsQQYCrddx2LhjfNky9/+cuJBYqJmvqjH/0omSOYWi2EtYnyRHxKxlldaOHSSy9N3//+93uChhljGkKEFpg/7SnTwkQIoD/84Q8TzUBm4xFHFwbHfyAw7RDwuRZu2lUsKrRYEMCMZR3pgQceWCzPj4f2jgAGnD0s6yOf/exnU9lXYCraq/Ze0sxNSVjNZ2cwGGduK2Z8zaesAU972tPGPesXv/jFuPuZdGMff+6556b6/lT9fX7ooIMOSrTO9W971lVXXVVUuEAgEAgEAoFAYCgEgoE+FHyReSoRcKChdcZkJ6KpTVEnd/bZZ49VjeQh8z1jAeEJBAKBQGCWIpDzZDGLFw+gL3/5y1O/miM0SzBlnvvc5yba0Iun5jPzqSuuuGJlRrvU3rrcC6HRWn3iiScmJuAHNZlP+5TVAd8g5C91iOvsQmCdddZJGLKl1WeccUbSD8t9u2shlBP+8B3EdmkirD0Cvv+50047jTEXjGWm1XsRWiDo8uMf/zjRCrJ/b/+Eh4b6fuW//du/hTn1h0ITIYFAIDBNEcA8t78JTd5p+oJaqkWoE3PN+vSCF7xg3L4CY92+oSXLSN1ayw877LD0oQ99aKTaFY2ZagTieYFAIBAIBAKBwOxAIBjos+M9z/hWItRdffXV6eMf/3hlLg9Br1OjpD355JPHopl9pLU0FhCeQCAQCARmKQIIJqPUdCbp3vSmN401CSNtIoaueOloQtNirzJ3+UFEO/300yspd9qYT3jCExIJ9/XWWy9h3tGM7pK9ryjv56qrrkrMJntOzjnlnCvTczvssEO6/vrru5ZHq/6yyy5LmIRM20n885//PGE855zT05/+9Mq8nfBB3Rvf+MZU1yDvhdC4YMGCxHw2jf95A5jML7jAYI011kjKwJCjTbH33nunu++++yHNueaaa9Lmm29eMf5yXoRjzrm6f/vb357Uidtiiy0qjHNelGaDDTZI55133kPKE/CnP/0p0ailxUwQQ1ir0x9odey8884JVsXctW/0IVRi4jJlrQ20nryzUgY/jQqCf7ShuFe/+tXJOyxpOl1LP5X30Y9+dNUm+ZkrP/TQQ9ti1Kms6RxO62SbbbYZq+Jdd92VjM+xgDYefcG477X/DdLf2jy2p6Bh35u66se77rpres973lM903jA9CZoYpx84QtfqMIH/dGH6kIL559//oRCC/biGO00f+p5+6mD8WA+u+iii9pm++tf/5rUhQawPi6R8UeIlsZ7zrky+26NuO2221K3P/kuv/zyJC0LJe3SFqwPOOCAirl/++23V8nMC4cffnhaZZVVqnFnXdpzzz2T8CrBwp9SvvFsfHo3hIEwcJS7MEnHf/HDrAsdC46IgRD44x//WM3t5f23K8T7tgZ7x951zrlae7z/XuZzZeo/1ht7DXO5cqx5zIP380kz/Uc/q9fFOuSsrJ6e1cndeOONFYONUIv+bT5hCpeW9URjigWK0047rdp/fPOb36we4XnGs3VKmziY3HDDDVV8+dG+3XbbLalnWS9pypovS5p2V+UPgjuMzKPGNrzLu3Vl6ciYzTlX9WmH27e+9a0EI5+WKfUyB+S8aF/BvLAxXOLqVxjbL8A150Xp7f+23HLLxHKKutXTh394BGBKqBPm1if7Cv2wlGy/YN9Q7ge5lr5Y+rrxyyJir+cGff0rX/lKeuYzn1mtKznnpB/6tEm3sVfWzW7nAP3qLW95S2L+urTt1ltvTU960pPGnmWfLI6Vn7Ke5ryof9LwFVecNNqmjTkvSgNb46ekKVfrtjX6pS99aTImvAtzgvNJzjltsHAP3ppPGml3WHgO6vUMUJ7X79X8bOzBOuecHvvYx6Ze5rv6c0p9Bz3L1ctq0m9vWC8P5uVenc2B/e4lvStztX1PzovevfNNL/N1ebazLawK5qwOeQcXXnhh0p9Luk5Xc6jzlTm433UqPVgobI455phkv2tdynnReLMenHTSScl4fDBpXAKBQCAQCARmKQJLzNJ2R7NnGAIIpDY2iOETVd2h+3vf+16VzOZ97bXXrvzxEwgEAoHAbEcg5zxyEGBSzpkzZ6xdxx9/fMeDLqYOwo30iDRjmTp4MEKf85znVATkgw8+uGJk/va3v00Euv7whz9URHRMq14O+B0eMRasPMwbh3XEB89G0LjjjjsS0+kO9rTtMcYQ1ktGRDomjxGWCAQgkiPmMiF6xRVXJN+8Yw5ZeoIDX/ziF3kHduqw8cYbj+X3rIlMOiNo33nnnWmrrbaqiHNjmXvwaOs73vGOBBcWA376058mRB4M6fXXXz994hOfSLSSb7nllnGlIYIg3qub910iCdVh7MGYQ/iDmTTacvHFFycMuZLeu8XEE4a4s/XWW1fvH74ljetNN92UEHwQYglaYKj97ne/S94P4ssKK6yQaNUqz3tV3/e///1VmHsMBFYRMHlvvvlmRVaEI9h5h95lFdjmh5bvmmuumRC+ELIwePR1eRCCEElZ4mF5wbPaFDGjghC89cNSae3qJNAgDYYo3BHIc+4+Bw7a3zynXzfMe9NeTGMMNZYh9C0mKzGtXv/61yfES30U0a/0xX7rV9Lr061CC1/60pdSt75krsHcNqchrJayJroqEwG7Pp/BqZ4PUfWVr3xlwpQyLj1HfzeHGt/GUGF+wMCnPRDrjbl6OZ5lLjFmHvOYx1RzpbSsXNXTmbuMVURdWH/kIx9JylJ2Ifwbe/qOfNYIDIZddtmlGsPmcO/EOLZ2SCOveUVfPvPMMwW1ddoEQ/Of+arXdaFtYRHYCALeJ2ZTp8LE658+N0FAy/xkrBpH5nNzNeEp/a9dGcKZVMbMwqy19utbzsHMTe+///5JX+hWRilXX/7gBz+YrJX6m34n7je/+U3CQFMvzxNWd+bL/fatUsyPAAAQAElEQVTbLxGAWWqppSpGLiaFT6kZm0cffXTSDmtMPZ9xaI9hframar/9h3UQ0884eNnLXjYmDOg5MDE3G1Pu7bW077jjjqvGj/qJs/f5wAc+UIXVn1n8g+BufH3sYx9LT3nKU1IZ2xhCcPIOtOOoo44aE4bphBtrSObeAw88sFQn8as75/210iPMzd4NjM3d9irS3nXXXdVabl4w7t/whjckbRsrODxDI2DeJ9SpLxJWUCDrAQQ2+I0bDHbvw32/Tr/aZJNNkn7tverX+pTx4swiXH/pVK553tnDum4dsZfda6+9knpZe1dbbbVk3JT8xlc/5wBtM7foz/amynF1r82cfbLwd77znUm9ravu2zlpMOXtn+05W9Nov/nHWmbdVpb00unnxo89g/tLLrkknXPOObyVM3YGOQNUmfv4MR6t4wQWCEl7B3BQL0I8GPedhGvrj/HutdPYNY+Vcozhbme5ehmT4dc+QgilbH3d/DboXhI2BDxWXnnlZI9kn6lPaWOZr61X5v3yzNarMqxjMHd+VRfnJvs666Z1FEP8iCOOqARlCcvqY9YZZelXg6xT8hanDuZ6ZySfCLO2wcpYI+yiPs6u1jt9s+SbLteoRyAQCAQCgcDUIRAM9KnDOp40BAKkP22kHG4nKgZhzXcupUOYQoDgDxcIBAKBwGxHwEFx1DBAAKgzdLtpjiCEYLZIL183LDBoaWDIgzhEsr2kd6DHuHWPWOyQzT+oQ2BAKEAcQJBgbWWZZZapisN8QjzAkBGAMYYAV4hvmDWYr4gYiGjScBi6CMOf+9znxjRThWMCuQ7qWHRBzEJQUgai4LHHHtvxO9TqSYvOeoypLU+L63irvyJCH3/88RUDHTGehosMmBEYWYhATKbuueeebeuAKQ0zeThapgTt+DmMtmuvvTYhnGy00UaCxjnvAyERUXtcRMsNArx0XM6LmLQIL5gU3/nOd5Jn3Hfffcn7QkjEXFCEd4uYiaD4qU99qiKQ6g8IOLThpPFshNRCNBJWHCIqYRBYeY5yWOmBE7wJBSASY75sueWWiclOaUv+mXg1JhAoS92NUeO+3NevCHL2j/oBSwz1uFY/XIbtb61ldrof5r3R4PrJT36S5s6dmx7xiEeMPUL/op1K443WOW1RkZjD+gT/oA4DGgG55DdXYUKU+9areGHmKtdeHAadvsxhGhoD7fLRdDOnIGqWeARbDAt9w7jzLs2BsJDGHHHIIYeMY/obk8aYvLCTrp0zVjEaEVkLpuq2xx57JGUi9iO2Yrx5DqEG5ZgLEJTVC1FZGgwKTMhTTjklmUPNn8owT8pTd+aBQdeFejnhbw4B/QrjzbzSrlTvkXUbcYS9MH2NAYwZa8+yyy6bvHOM4G9/+9uSjXPKN0e/5jWvSdZZz3r2s5+djF+MJ2uecV/KYLFkXAG1G/uBT3/604mQh74ujz5obtD3JLWvMH/y15050/7BGZrGq/VWvHWFYIAxaF3SPm0Wx4m35mkrwTRhnHYYA9YgY8c6KJ+9lXjjBiOFpictbvEYUa7i6mPqyiuvlGWcU9YguJsbMSjNJ2Vsw82egUajecy624qbtVo9x1Wijxv1fdvb3pa8H3tJ+zQMHEVgJNnPmDu8p6997WvJ3sQ8JT7c8AhYfzH9rCE5L9qvYXbaP5XS9dlua1xJ13rVv41dfZdAlv0mxismcUnrHNJJ+NZ73nTTTZO1C+PaGDGHEJxRb32CwAWhttIHPWsyzwHmHwzhUv9OV2cj81NrPAw4THpzXIknXGPvrY+bH0q4McAv7VTsyTBizcn22Z5n/1HGoz2Ffbq5V59Rr05uOq/Z5s36Plmf8q4G3UsSfNCHfVrTOcnczhk3sISRZ0pjTLhvdcqQlnAhRrg1ztkX/vZN0hNWk4YSFbfPPvske2Bxg65T8nL6FwEp480Z3xnK5xysY/q8/Zcw688vf/nLZAyrs7zhGkEgCgkEAoFAYEYhEAz0GfW6Zm9lbWQw0XNedMjphIQNmk14iWdmNefueUrauAYCgUAgMOoI5Dx68yGGLoJu0XpA6MSQdDBufZ+IoYi+tBTla42v3yMqOPwLozngWncO1IXg2o4QXk/bzY84izDmWUwuIuDlPP495ZwTIi/igbIQ30jJa+Nyyy2XaCiJR3QXzynzk5/8ZKUVjUBAch6BGiFf/DAOYRwhoZShPu2I8OJ9B5nW5c4775wKEV54L44QQyFWIKa3Mrl8Ux3BTlkIjdLztzr40PgRjkmHgQA7RGxEMfE048S3OsRL6QkJtBc+WJRD/8PMRPTEdBBK8wSRnMaQeua86L1i5CLcSkPgj3YrIQGCHfY7wl1p+tGudw/HVqYNYh3tcsRU71+flLbuECIRKPUT4YQzYMU/kx1mSWmTdsDPHpC/7hAM9U37QVjU41r9+k8T/a213Nb7Yd/bUkstlfQVfYhWWikfsR6B2jvG9GIWEzEYI3eitpcyOl1p6emPJV6/Rcwv9/WrfoqwqX51pns9TTu/MWKekh9zoF0aYdpi7Jsr3XPGGE1yhG4EWGGEbhHEyzytL3jH4jgCJsY25hk8hbVzCKnGNwIrrUBpENJpTWGqK8d4Fa4NmIr81iJmSc0x5hHlCM85V3O2Pume5qB5ib+4YdeFUk5c+0OAoJF3aq/Q6lgrIUhSH3P10q0pPinCCpq1Vz+tx7NMUgR/MLMJZbTOWfYSBDNYWyEMU/pMKcfaUvqgMghvlLjWqzFqv6M++m7OuWLE65OE0aS3rlqf+YvDnMC8da9+BD74i9MuGrDuWYuoMxlzzpVlCGslLUJpOFZVtM3ey/wlzH7AvmDOnDluK2Yyj7FcxrB7Ywqu/MYUc/T8xQ2DO3zV1TpbcIWb/R/c7HOMbene9a53Jeu558KVIBz/IE4b9S+CnOZqz2gtx56k9DWMUowjjL7WdHHfHwL2feb8VqHOnHNlJclcr0T9oNMaJ76TszYQerHPsmcnXGl9wUQnsFXyEaJqFYAx3nwywJ7uwx/+cDVeS3rX+t6boBjBC/3fXsg+1j5wqs4B6tOrW2mllaqziP5cLDFoo3OMsYB5bu9lTDi/YWgq23otnN9cNegZQP5uzn6FMLR511qd86K9esmTc07vfve7E8GhEtZ6nc5rtrOIPZX5U73NO84O5mB9017NuxHHTbSXNB/ZD3pv5V3Jx+Wck7myzOvGkH2duLqzz7PGWcesFSx8lXh+cWUsqq9zuL5+8cUXV58yGGadKs8hQE1QTLn2adaCEleurJla+9XF/MtqSH3NK+niOhsRiDYHAoHAbEMgGOiz7Y2PeHtJBxaTUDY8ZZM+4s2O5gUCgUAg0BMCDok9JZxhiRA/EcNKtRFgHPDLvSuiGUavg3g3Ioi0HEl4RFP+dodq4cXRPHSYL/f9XJknxpyVB0MFQYO/1akL4phDvDhM8fohnkCAOovjCBXQuuXPOVff7KXdxTShsGGcOiLGlDIQkxG+yn25Iihh3iFMYxqX8F6v2kxDTHpX9/ztnDogsLWLU19aXoWgQ5AA04D2FyIp4ny3spUpL6IOfzeHEM5Jg3DKhGHODyXG1fFAhCrvSr7itNlexj2iLAISf3EIj5jD+ict8xLeesWA2H777atgRMvPfOYz/9DWr0Jn3g+LCxgMpeasD7US6fS/8skG5llL2k5XfQDm4l3d87dz3fpbu/T1sCbfW30860Pec86L+pv+R4uyMLvqdRjED0MWH0peTAjzarkvV4xqWnSIsjkvqkuJ6+Wac07m6YnS1t8PxhxmRc7jn4dwj3GpLBpwxjt/3WHo0Qyuh7Xz55xTGduY8gSeyn2q/c2fPz+ZjwURqKHFxF934st7MSZpptfjm1oX6mWGf2IEjGtjSF9qdZgCiPedSrHnsN5hVrfrvznnpM+U/Bi0GNDl/t57700E3zAUMGrrTOSSRl/FyKGFymE8lLjWq7FKU7q+L5BG32PlgZ8r52Z+TnyZV6ydnim8nVNna1O7uPrYMAasU63p1NH6JNyY0rb6uBbOWQfVi7+OmfthcVdGznnc2MbobK1vzrnSBE8P/hmjD3r7uhAmINgjEwY9DVf+VpdzrqwQwEicT8EQtOQPNzgChBG9O3tY/btekrm7fpbotMbV87T6586dm1gQaO3HxgOBkSLM6TyGMVc/O9jDYDiut956qWhA18tX33r9CPvU1w5jpD7eJ/McUK9Xr36Y1OuHeWlsyw8fQgAsWGinMOntxfhd3fO3c+buTmeAdulLGEauedd9p3lXXF1wyH2r06eaOMu1ljvoPWavuZFAH4EOFnmURaiR4Ib9ofviypzvvtteUr8luEGAQ1/W5+Spu3nz5iXPFCY9AQVX98XZJzq/uC97NP7imEwv5yTCoAQNS5yr55Y66y/9rlPOBz4Xot88/elPrz4Fptx2Tj3KeQOOBHbbpYuwQGBGIRCVDQQCgb4RCAZ635BFhumMgEOHjZA62tSR1OcPFwgEAoFAIJD6/v50miF/Ds+IYaW61oFWhi6iGY0QGmCdCJYlvysClkM/QiqJc2GdnG/0OYx3iu8WjgBGKwAxAGGjW1pEhrXWWqtKghGEaVjdtPmZbAEyRLzVV1997MmYggjDYwELPYgjhBZoCyM+LQzq618epgHh7+q+UwGIkBhRneLnz5+faPaJ1z8QrplO9n7nLST2CJ9KVwg/3Z6pTxRio7bVCaW+c27PIz8mIaItfyeHgVGEL/QbZnE7pZ0J4Tkv0hYrbUKcw7yqj8PS/2jY1Ptqp/bpX/pZE/2t0zMm871hyGpDp2cPG26c1LW+Md5o1dXLpUGHuEhwxJirxy0OP4J7GUNMM9f7x2TVx3pU+mW3Z9TngFam4GStC93qE3EpseBgnjWftDrrNAa6+bYdVuZja4t1mtW0dmkwizCCxJnTzVH8HHPGtKv1n25CfgSuaGZyGE7ytnMYUly7uPr5uFUIxrqDwcuShT3Qiiuu2K6IKgxGxnx1M8BPfXx2yw6TMqYI52Dcl/TD4l7K6eVaH7MYVL3kaU3DvL39m/Bu71k8JiohHH79r1gGcB+ufwTM//YJq666arKHbS1BP6ufJZwZnB1a03W710+V0y6NcBYHShxBTvONe2PJeHOlCW0cCm91BHRKmH7Uuu8uca6TfQ7wjEEdgZl2VpPq5dnPTPaerDBy4T3MnmVxr9nWE8LkOefqrK8fspLjcxTmKvtDfR+jvwgt1bGu+6WFfT2s+PVXbfX+Ou2rCRvXn3Hdddcla2Mpw9U86NrJKYNpd/HGhE+i8BfnfQ2zTjENbz1XHgY6IWn+ds6z6pr2p512WiJA0C5thAUCgcDUIBBPCQQWBwLBQB8CdRLivjlkwe3kHCptWoZ4TGTtEQEEgGK+PeecMNBzzj3mjmSBQCAQCIw+Ag6ho9pKxLD6YR4himaB9mq3e8RajERhE7mcc9pss80SM4qFASOPNZ30vu+6IVgIG9RhvGNCyY/YgbjGYavzOwAAEABJREFU38khaCCIlPiJCBAl3WRcCSEQRihlI+QhZJf7gjnsaK6W8H6vCJ20BFxLXmVjONGop8VXwrtdc86JZiHCpHQYmTQMi1aBsJnkEH9oZagzjPVt/k4O06donNDSaTUZ3SnfdA6fP3/+OCI4YY06Q0p/RLRD+EIA66Ut+lkT/a3Ts1re20NMtLbmm07vLefxQgvqilnurMPP0ZDEBNxmm236/mSD/OFSmsnrwii/P3Ps+uuvn1h/sV7X20qAS78XhuGTc66YGDmPv5qz6ibRMYPl4TDrrG0+T1DmauHtXKE7tItrIoxA1r777psKA6OUyYqDTyVgIJSwxXltAveprj+GXXlmnSFfwupX61bZswjHRKoLDwgL1zsC9gf2Cfau9rDtctbPEsYjiz31Na5dnn7CWGQqVgUw4TAk5ScQYw7gp8Ge8/i5I+dF95tssokklSMQgBZZ3Yzoz2TvyXxaAnT6w7wBhWmnw5rt/IihbG4u7oILLkjmbP1X36dhL532DuqYg7ePdf6tM+xzXtQ/c150ZV2hPIOVNhiVe1d0W1eujAH+uiOMVu6dvYu/XIdZp5yfilUvZyhzbSm33RWTvQi/LViwINXX7nbpIywQCAQCgS4IRNQACPiMC+GqcgZqvdpTd7KKNcDj2mYJBnpbWHoLZDrNQoo418lJ48DdW4mRahgEENN9s0wZJCeLlp77cIFAIBAIBAKjjQDiB6JYaSViQSFULlh42P3Wt75VMdsQsEuafq6IW8wh0xJHQPCNUxL4/ZTRmhYhtJv2SGt693WCggO8MoQvDvf2t789FUKg59fNXcL8uOOOS4QQBiVKKbPuEFB8N5Jpv4MOOigxT9lK4K+nb/UzictUo72ZOAIIGP/8M80hONUZMRPV34GjrklozzRRnukejxCIUVvqaS9eLE8gzhGqJFSDIF7S9HMdtr+1e9ZMf2+YOf8QOknJHHvNNddUTUXMP/rooxMt20Exrwqa5T/m9GHXBdqqsxzGSWs+IbbllltuXPnmG3sOgQceeGDCeOvF7bXXXrJU6ZnbrW6m2Q/LDRdddFFixnaHHXZItN59bmY6VHNY3Ke6DZhI9kb9PBfjpqQ3L/Sz7pd8cV2EgP2BPuOOv50jlFnfK9XXOPmGdQi+RTvXmkmYU5n2opid/Oecc041J/Qyh9TXY3lH2TW9J7PWFmFS1jq4QfBTjrHZT96mz3I558RaxRvf+MZUnE+GEMbqZt68nzpLS4hHv+xmrUV83d12221JPeQvrn7fae3DDCnp63iVsPq133XKOb6efyI/Zj3hNukID9jL84cLBAKBQGD2IbB4WvyIRzwiWW/Re9q5u+++O7V+fqnpmgYDfUhEEe+6FeEld4uPuOYQYE6oEIxe9rKXpSc84QnNFR4lBQKBQCAQCEx7BFoZukU7kiYq4tTWW2/dt1akzdj73//+RBMU49ZBnynwXr6ZOxFgLNkgoElHQ6AQ0tx3chOZPOyUbzLCMcYxyEvZtGeKuUuYkwId9DvIpUxXhBGmS63rtPx8J5IpQsIMhRkuXS8OQ9W7lNa37DDiyzsQNlNcvc5wponXre40LOrCDt3SzqQ43wCum8FlaYLlCf1Qf0RcJlzTT5ua7G+tz53p742Wjnk251w1zb77xBNPrIj9GIgTafdVmabLzzStx0xfF6YprI1Vy9pvDNRpABg7NCM8xF7DtR+HsVrymX+4fvJPRloMEIxzQumHH354Oumkk5J1/QUveEEyD0zGM/stc1jc+33esOlhWl8DemHC2PcMK6w5bL1HIb99gf2Bd8C6AgtEnVz90yT1Na4JHAgzEjJrLctzSt/opV+05h/le/NhU2eAOk6EUfplfNfzF/9sWrPLWaMwMQoG/V4x+3NetI8k4G58tpbh/C3M2YXgGn+rM54HWaesHaUsliBKu0pY69UZyic1WsPjPhAIBAKBQGD6INCTINwQ1Q0G+hDgRdbpg4BN15lnnllVKOcw314BET+BQCAQCMwyBFoZug7lCGG0TBzAEX77gQQTbuWVV07f/OY3k++TvvWtb53Q5HI/5bNQg5gmDyKAtYy/V4eQ36RmQa/PLelyHm/SWRuYu2SujzY6LdT58+eX5ANdmRtnshL2zBMyn0uTfJDC1O/QQw9NiJOF8X7ssccm73mQ8hZnHsybnBcRn2BUCE291qmu/dFrnumYzmcN9I1SN0zcM844IyGUG18+51PiernCsqn+1u55o/DeaKI+97nPHWseBjrBIvOsQNpPruEGQ0C/7WVd6FS6dWG6MDg71XEmh1tz3/nOdyaapKUdGDGE4Nz/8pe/TBMR46Xr5OwD+tVS7lTWoOHa4jM1G220UTK/Gtt1rdxBy206X5O4N123duUZlxgxJY4p5OLv5YqZrv/1kjbSjEeAJvkNN9yQnAnsBbs5Gqb1zz2dddZZaTLGJMGIJz3pSVVFacaXecN6WgXGT5rsPVmBeBiGcBNr9kwZ18XsOYHvIvRVMOzn6nMo5fNe9u2Eoo3JUgZhEspR7nfaaac0r415/WHWqfr67TMIyvKsXpx5/LGPfWwvSSNNIBAIBAKBwAghMB0Y6CMEZzRlcSHAdLtv2Xg+Sfkw3w6JcIFAIBAIzC4Ech7P0KUV4OCNQbrZZpu1PYB3Qsi6gpHGdPshhxyS6mY0O+XpNxyTpE4U+NGPftRXEdY7B/m+MjWcGIOcmcBSLCLlZz/72XT11Ven7bffvm+N/1KOK4LWlltumS688MK07bbbVoT8nBcxjcX363zrEJGGQASrAvLT+vnIRz6SEC/dzxRHIKQQcDBcaNP3Wnd9pp0GVK/5p1s6RDh4lHrRLjv11FP7/mRD0/2t1Kd+Vc+Z/t4ILWyzzTZjzWJGjYYqoQXmnVl5GIsMT98INLEuFAGhvh8+dRlG6kmI8d6bRl177bWJEBl/r07eMidjHFires3bdDrP33XXXdMxxxyTXvKSl6Tdd9+9UcHBJus7LO5N1qWXsjDJCGWWtD5/UZimJazbVR/x+cBuaSLuoQhgjrFIteqqq6ZeaEQE3eprHEYh6wsPLXm4ECahmYZWin2B5/KznjPT9qTq3bSb7D2Z8UgoRb0x6gcVkjB/z/SzHAx6cfaw0mF2f//73+cdyOnrBK3Lp9c+/OEPpy996UuJZjh35JFHJsKwLL7tsssuKefxZ79h1ynzcM6LynR+KoIBvTSGkGIRfOklfaQJBAKBQCAQGA0EgoE+9HuMAhY3AjZwiHau6vLyl7889WuuU75wgUAgEAgEAjMfAQzdDTfccKwhCF8O4zRRc150WB6L7OCxnhxxxBEJY8ghua5t2SHLQMGIN+uuu+5YXox+Uv1jAW08P//5z6vQnHPFIKxuFuMPIsiOO+44RtzAkD7ggAPSc57znORzKsNUjVk+VgSUQZgB45d/EEfDABGG6d3CFCiMPt+8RLgZpNzFlUe/LOb89VeCC93qghB5yy23VEkQkUvbq4AZ/oNwudlmm421wrumQWbM659jERN4muxvnR41Ku/NN5Drfcj4QYSkmTvMOO2E22wKH4V1YfTf1/gWYqCssMIKVaA9Ry/MNvsSzAEMdxmf8YxnuFSOxrd5rLrp8CO/tfa2227rkGKwYPX5yle+UmUmHKdt1c00/FG3YXGf6mbVLSERNGQRp1sdxFvPpEHjiPkVEv05ggr2SJh1vdKInCPqaxxmXxNM7fpejDWXUh9XTHQtw0B3HuDv5tSHpQhzTrd0MzVusvdk9oeFgQ4j1glc+3Wzac0u5w4Yob8S4OXv5vRnDHKm+OvpCGOyYLT//vtXwtaEmZdccslkHBAov/LKK9OBBx7YVoBr2HUKA91+XH0IT5iL+Ts51k6KuX/n25K3U/oIDwQCgUAgEBg9BIKBPnrvtL8WjUBq0qKFwJ5zTq997WtHoFXRhEAgEAgEAoFBEEAQ2WabbcZlxQBHqBoX2OWG1rkDvyS+pcPxT4Zj7pgWlbJ/+tOfJqbs+Ns5Evc//vGPqyhtqjPfq8DF9ANb9ak/ntlXxJF6WL/+uhYeE4n95i/pMZgxGmgh7bzzzhWznwnzffbZp/JLh0gzk8xmwhbG6s595zvf6apFjxlTLPX47icNCvlGweU83vKENtGSoZnO36trqr91e96ovDfEfsyIelsxHAgw1cPCPxgCo7AuDNbymZmLVnBds9XnRpxPO7XGmiTNXXfdldZYY40qGcEuzAM31qKPfvSjlTae+1ZX8vvuurmuNX7C+y4JMC0Kw3Yy9z5dqtBzVBO49/ywhhKaJwtjltZj2Wt2Kt7ng8R5zwQa+MP1joCxgkknR90su/tuzhr3+te/fiyJ99QLU3ssQwdP2YuxEvKOd7wjFYEIe7JnP/vZVS51tmfFIK8C2vwQoPngBz9YWdbSN9okmbSgVkZoeZA9NiHacj/sdbL3ZBjfr3rVq8aqiYH+q1/9auy+H89sWbNZY3vc4x5XQeO86jNY+msV0OaH4C6LX/BpXU/kY+kEc/rOO+9MxoYwQiannHJKetaznjV2Rmsteth1qlXwlrl4Z+zW55R7n2YhzOR+6623TvoOf7hAIBAIBAKB2YNAMNBnz7seyZZqFAnFInlrUxfEO6iECwQCgUBg9iKAIPK85z1vDADakhhXYwETeBCmHOAlQ0wh6c5fd7/4xS9SITLXw/v1I57TipYP4Ynme6dDPAboJZdckhDe9tprr9RPm5Q/iEPMUB91QxxrV4Z61Jm5iHn9Mi/blVsnHl5wwQVJXerpEJ9907Ie1s7PzOAXvvCFtO+++1bExpKGwF2p5+9+97sq3rsv8dP9usUWW4wxX+yFEP861ZkZfHgh3L/rXe/qlGzGhhMmqRO7aeohkPXToKb620TPnAnvrYyDu+++u2NzEESL8I9EBJcIMPGHGw6B6b4uDNe60cxtHfdNY61jjcE+xD7Bfd1ZRz/5yU+m448/PtG4Kwy0ddZZJ2266aZjSb/4xS+mD3zgA6l1DJb8J510UqpbfxnLOKQHU78UQWvX88q9KwHDdu0SN1Wu/pxhca+XNay/Ph/+93//97ji7KMEYMx6r/zcZz7zmY7CbxhKZ599tmSJBZ0VV1yx8sdP7wiw2kRTlqDnmmuu2XvGhSlZsSlCLfafmIVlbVwYPdC/TwjZi7HWssEGG4yVgSEnLOdchbGM5JMo0lYBtR9zgn0cjdgddtihFtOfl2AqKw5ysX6lv/Fz2ltnlNc1j+0nyxlJWk5aOJf6uufEDeqmYk+28cYbp+WWW66q4o033pjMze3esbrAu0q48Mc7WHgZ+58ta7Z+4ExdGu4sSoO8HWaEwq2D+jGt7ZLHVf/yeTSM649//OOVBrrwXt2w61TOObHeQHDFM88888xUBNTd1526sgpjDne2MC/U48MfCAQCgUAgMDsQCAb67HjPI9tKGxkbmtJA5mLLRqiETeNrVC0QCAQCgUBgEhCoM3QRNAuTtNdHMR/3zKzAfUcAABAASURBVGc+s0ru4IxIzQQkbS/MdIy6Qw89NBXCGiYuohHiE6n4KmOPPznninFr/ZLl1FNPTYVg6r44xInDDz88YfR+6lOfSq95zWtKVNur9G0j+gxEpNA+ZvpcO2WHMca5eOa0uzEv4VQXPihCcPLWXd3U6ec+97nq+3jeAS2A/fbbr8KgMB+Uh6iv3QiP5buiiP277bZbZU4eEadePmbfJz7xiaSPCLefQEThb3UIgZxwV46/CWcvo5/1WxbTkwi6pf6IULc8aKa9Xpawww47rGrnv//7vyfa9/X4UfDrBxgpOedKY4V2dM65r6Y10d96eeBkvbdB+1G7Ol911VVVMI27Tn2TMAbis4T8NCv527k//elPiTBSiaNtVMZoCatfmxpf6j5RWdLArjzfHFL8w149W/n9lpPz5KwL/dZj1NPrg9bU0k5MIWteue/nikGw9957j2WhnccsOybZ0UcfnWjBvvvd706+Y037HAOdv2TAzMJQwKAoYdY9+5GXvvSlafvtt0/WVvsb+QmFmUtK2tarvse1hrvv1sfXXnvtag6VjuAaTVjj11r65S9/OWFEwkk8RzPX+KEpPSh2yjFOHnjgAd6+3LC49/Owbrgph1ngnBetO4QPFixYIDhhJO20004JjimlhFG63XbbVXGE32hhan8V8OCPe32ENQJp5X8wKi49IgBDgijGOG3WwizuMXsyFldZZZWx5Pbm+vlYQBsPgZP6+KgnMVY+9rGPVftRY92Yr8fb12OMlzCWheyr7V2NPW6rrbZKc+fOTdZmn04xH5T0rdeJ+is8yl6dFjDmPsy0wTkDo7yUycKGuri/5JJLKuEdc4I51J7bXoDgUBFetq+333R2aFcPz5lovE/Fnsz7dUbQLk5/sZe8/fbb3VbOmcV7IYxbBSz8+fSnP13N6cbvwttqztx3332rd+u+qbOcsjq5OhPfOyME0SltP+Hmc++nXR57bX3Y2Cjx7vUNgkE0xw8++OBk3WNR4UUvelEl/JPzonmx5GFdgFl3e0Fny3Z9pKRtd21inSL08PnPf74SSickrh0EJVqfh7GuL2uz/mHctKaJ+0AgEAgEAoHRRyAY6KP/jke6haS7HVA1Mucw3w6HqXPxpEAgEAgEpi8ChaGLqIO5009Nl1pqqYTQTdNbPkQhxCPhNF0RBhC2hIlHaHGwXm211VIhCCE+ID5h7EqDQIDJzt/qEMAQ5rbZZpsq/5vf/Obqu28O8sqhFYEh6LukDvHMNuY8nhiBqVwIOcpHxOiXICFf3SG+Iy4QClAPRBHfiqunKX6aUQhMhAoQ+HIeX7+SDpGHlkq5d/W9WOs5f915h+XdwRUDwTtAqEGQvuyyyxITmCUPs3qej7D4iEc8ojJ/i0CD+LHtttu21XCYP39+2mSTTaoitJE2z+WXX17d1388C8bCXK+77jrehzhME/EiELcQGPnrznPqhDgEWUzuehp+eQkF8HOIr/LyF8d0vvrCCYYEMTA9vHuOXxjTidJJX/KO2hVjR/s4/n7bN2x/87xLL710jFFsvBu7wludOnofw7w349PYKWXbDzMzWe4HvaoXhp/8mH7GE3+rQ0jF1DHmzE80K1vTuNdnfcu0rr2lX/v8kjhp6g7z4eKLLx4L0i7zxljAQo989TGkPONlYdS4f9qH5duW5mLpxiVYeGPsGYMLvdW/uiq/uqn9mOeVJ0h9EH75W93PfvazMesknl3y1NMZm0VIQTi/MP7imlgXSllxbY8Agbh6X7O+nXHGGcnYap+jc2jOuWIU0GCspyrMJlZaML2XXnrpZG9gDqin48dQx3jBiHXPWfuMAYR7+wTMs7POOiu1y689RVDFOmTdUkbd6WfnnnvuWJB1BZOrBKy33nppo402KreJsBqGAQF1DDx1J6xVEojHCCTM9ahHPaoK9oz6mFKnXsYUpkq7dMat8avw1r1UzsPjXh/bnuN5nlV32lTHTZrWOcf+sLwX+0bvkXbrlltumT70oQ+lgg+8jjrqqErb1TPEmUvLe3B1b/+iP0krj7SL382cGmAIE0JRY33QO+Tv1ZkHjL+SHpONkIx5ooS5Pv7xj0/GN791gdYtYcwiUKKfGDvC7VONY/O79HXnHROOcRYo4Z6vLPtrjuUJ+1bj0HxR0rka8/2cA+yn1UdejjbxMsssk6zl1nfnJ+HcvHnzkj7JzzmPmBMIovr8BEEWn0JSpnjOPoKgQMHBfsgcJc4aes4556R2410818SeTDkTuV133TVhiJd0J598cnrSk56UmConpGTOxWxlPaikYRGM4MCcOXNKUGUVzLv1/ry3Qc5yY4VN4LFvOe2008ZSwfGrX/1qgutYYI8e/byfvaR+p532r+UR+j0LatpsPrPu7b777ongt35d0pWrfRKMnC/1Z/vInHMliMC/wgorJE6c9wPvkte1iXVKOYRT7EX1Zed6GuYE5mFCOASmwjDs7e+1Xb5wgUAgEAgEArMPgWCgz753PlItttEphxgbG26kGhiNmTwEouRAIBAYaQQQe5iZYxIVIajfxtIEQbR+4QtfmDAfEVMc4hEtEJEQVhDShCMOIPQgXK266qoJg9snRRCjynMRaGnAYDS1M7WNsIoATdsIU/jII4+sNIYx8WmdqQeNjre97W0VgaGUS8OJObnll18+1QkMCCswoEmBGFDS93JVJtwQ+OptgAdCEsJFuzKZdOYQPFqfo83yKZMQQD0eoRluNEEQ3EocTWmEDURD+HBwRpjHhPcOxG2wwQaVBgECFy1y+J9//vmJgAOmg/IQ8RAw+YvTToQuWJUwhL4Xv/jFCcEbnvLR/nvLW94yRuhDqFIP4aVM7dt8882Tb2zS3lCeshDTyztHjFEeQiNhBGk47ZeuvCv53vve9yZ4YP5Lw2FU6JfKUJYwTl8jUIAYKQ+CEAIUvBBjOfHSST+qTt9CxEb05e+3nYP2N993RHzFPNFv9A/PRmzXN42l0k+EF+d9eC/9vjfvHgMLwY/mYinPHEPjdbPNNkvtnlfStbuWMgmnmGv0Qelc3etX9bEpjjPWjXnOfd0ZX4ipCPL18SMNjISJo43pOeYUY4AgknEvHUcIxPMJtyjTWGsdQ8YJPEsa6QjNbLjhhmPMbGVhFngnnqUcY9M8YQyK5zCrlGUeqdeLiW1EYmnU3xxQf7cwV7bnSsNhxqmD53genJk7NTfX5x1+88mee+6ZPDM9+GcMD7IuPJg9Lm0Q8O68A33KmuQd1ZPRQsMQ22zhONJP6nET+e0FmGW3jm+zzTZJOTnn6mptMNYxXs0VncoypjCZ7AGsaSUdvzD5119//RJcXdVT/9EntU+gq/log4XrY+l7tEr1bZrN0nCEvjBCzCn6J2a5dXSPPfZImEfaRIuQqV0MI30XI9Bca2+EoaBexg0Na33YmMLkVz4nzpgVp3+rrzFBQ7GMKensN4yXssapN6yMW/GceY5QmHlDOcLUcRDc1cVa21oPz4ObMa18V2t0Hbcy5+hLcJPOuoOxiKFo72aOtmezZ4GTNMWp80c/+tF06623Vqb8tdX+KuecaPEqyzwmjbQlX1wnRkCfMhbsja3DcuiP+u4uu+ySvHdhnZx+tdlmmyUCEMZHPZ19sPAyXsQ5Y+gH3qW9gOdYi1iPMEbMMwTIlIvJaF6Xr50TR7Oc8Is2KEM6ghjGjPAyDoVz+om2DnIOsF9UZ2Ndn7WHMNatfzlnxVcu51ydbTBGzQf6pLqpk/kK85zgqnlVeQQInVn4XY1j80Ide3ta89H73ve+pA3Vg2o/g+7JWuteK7KtN+ecaKF714Snnesk1HeMe0KEznvegXj7Nhr7BIztV6QtzvubzDXbu3GWXGmllRKh2fJcV2craw4BKPOJsG7OvKUfm6f63Ut6b5jfxx13XDJ/6g8cPMzFxoJ5nIBFuzrY/5nH28URdCHwwulbzjDWKJbfrGvyDLNOqacyirN26n8nnHBCdZb0zo1puMAblvah5ueSJ66BQCAQCAQCsw+BYKDPvnc+Mi0mYWlTUxr0ile8ItnIl/u4BgKjjEC0LRAIBLojkHNOiLoIyN1Tto/NOSdEUFqOGKIIQA7vCCglByKycEQW6xEmMG0ERAOEGAf9ukOox/iVr5RRv+acE+IVooxyS17azog7mE319PwIdZ5NWr6kL1dlIKggyEvbq1Mm7QKaoKWsctVWxOB2ZTJ7T2O1HcFEm+WTv5TVeqWdgphdrycCGia4unDairic8yLCnngETe2HE2Jgzjl5nvvyDAQwBPd62doJn9Y6KYsGP0IQQhyNVGGlLFf3wkuZnocJ1lpW/Z3TzFHeT37yk4oZr5zimIhUF7jqQ5iVzDGW+HLVfmUoq94WBCHMdYIDcJJeXdwLF19PP6p+hNh99tln4ObpT/32N/3dO8FQgXvd6SfGUuknrRXzXrwf76nX9+bd+/RAu/7hnWMUdHpe6/PLfSnTnFGvf/G3G5vyarsxb+y7rzvjiyYXQddSTutVHOaUPq/vGwPt6iDMvKhMY63TGCpppEPYNf5an3nxxRcnz1KO+bgdjuZv8/icOXOStOpVLIKU8lrfLcyVXeLLVR08x/PgjLisPSW+XDFFMCHmLHxmHcec+18X6vnDPx6BnHPFsNSnC/atV/3SOPLux+ee+C7nRe9L/zOv07JzNcaNdWN+olIwYcxl9TWMX5i41vzqaT3SJ1vbok+WvkejuV27jQFziv6pbFryBx10UKIJbU7RNzHzMAPFY+5iNtgbYTyol3bpu/qwurbWw5gVJ436GhPGRms69TWfqot6t5tXCTKaN5SjPlzO/eOuLtbaTvUwppXtqv6tdfVejWd1lY6zD8Rk9C7gB0d4imvnMD0xEuvvBabCxLXLE2HdEcBEpFHb+r7Mu5hx3nu3EvQr47+sya3ltI6XUpb3Za/OkoK+IZ9+gNHZz/s0zpgvt98zFymHdrl9qXDx5Zmu1jtpPUvautNm65c2SdvqjFt11lfld+Zx9sl50R67nj7nReci84F5Qd3UCUM355wwNTH/lUeLveT17HbjWD2ttZ/97GeTNpT09esge7KcH1r3epmd/Pb89hAwUzfvH67lzKHviF9zzTUrwepO5eS8aC6StpSlPPMibNqd5TqV1RpOUAID37tSZqtTZ/3P3Nmat/XevGXe159by/F+jQFzX2u+cm8t2mabbRLBEOk577OXvo4ZzSILIUTMe4KohMcx442j4upnbsx+Vn3K882r5ld917P1y17WqZK/ftUWQmH1cyos9e92Y66eN/yBQCAQCAQCswOBYKDPjvc8kq20WUM01zhSgr1sFKUNFwgEAosdgahAIBAIBAKBQCAQCAQCgUAgEAgEAoFAIBAIjD4C0cJAoEKAwBdhAFZHfJ6LZQZCUei7tNeLIzhCCI0AE6Y74aSqgPgJBAKBQCAQCASmGIFgoE8x4PG45hDwfcv77ruv0uJi6oc5qeZKj5ICgUAgEOgErIzIAAAQAElEQVSEQIQHAoFAIBAIBAKBQCAQCAQCgUAgEAgEAoHA6CMQLWwCgSuuuCKxFrbFFlsk5tInKjPnnFgxwGhH850ofcQHAoFAIBAIBAKTgUAw0CcD1SgzEAgEAoFAIBCYrghEvQKBQCAQCAQCgUAgEAgEAoFAIBAIBAKBQGD0EZgGLfQpnJ122indddddae211+65Rhjn119/ffVptZ4zRcJAIBAIBAKBQKBBBIKB3iCYUVQgEAgEAoFAIBAITC4CUXogEAgEAoFAIBAIBAKBQCAQCAQCgUAgEAjMDARuvPHG9LOf/ayqrG+f/+lPf6r83X7+8pe/JN9VX3LJJdM666zTLWnEBQKBQCAQCAQCk4ZAMNAnDdooOBAIBAKBQCAQCAQCgXEIxE0gEAgEAoFAIBAIBAKBQCAQCAQCgUAgMGsQmDdvXlpllVWq9n7jG99Iz3jGMxJG+m233Zbuv//+KtzPvffem6677rqKcb7yyiunv/71r+nII49M//RP/yR6JrqocyAQCAQCgcAMRyAY6DP8BUb1A4FAIBAIBAKBQCAQmBoE4imBQCAQCAQCgUAgEAgEAoFAIBAIBAKBQO8ILLPMMumUU05Jq6++epXp1ltvTTvssENafvnl08Mf/vCUc67cYx7zmLTmmmumM844o0p/4IEHBvO8Qmxx/cRzA4FAIBAIBIKBHn0gEAgEAoFAIBAIBAKBQGD0EYgWBgKBQCAQCAQCgUAgEAgEAoFAIBAITDkCT3/609NPf/rTdM4556RXvvKV6bGPfexYHR71qEel5z3veenTn/50uvnmm9PVV19dffc85zyWJjyBQN8IRIZAIBAIBBpAIBjoDYAYRQQCgUAgEAgEAoFAIBAIBAKTiUCUHQgEAoFAIBAIBAKBQCAQCAQCgcBMRYAp9te85jXp/PPPT3/4wx/S3//+98ox3f7DH/4w7bbbbom595yDcT5T33HUuzkEoqRAIBCYHggEA316vIeoRSAQCAQCgUAgEAgEAoFAIDCqCES7AoFAIBAIBAKBQCAQCAQCgUAgEAgEAoFAYPQRiBYGAiODQDDQR+ZVRkMCgUAgEAgEAoFAIBAIBAKBQKB5BKLEQCAQCAQCgUAgEAgEAoFAIBAIBAKBQCAQGH0EooWBwD8QCAb6P7CY1T5mcx7+8Icn7oEHHkj3339/uCnEAOaw5/72t78F9lOIffT1GOuzpQ+YZ/7v//6vml9inol+P1v6fbSzv75ubuACt/5wm/Z4xb6qWvtm83sq47pcZzMW0faY30apD5QxXa6j1LZoS4zV6APRB2ZCH0BjQctFb5nVjIVofCAQCEwfBKImjSIQDPRG4Zy5heWck0Wfu+yyyypGug1AuEVCBZONw+9///sx/F/4whcG/g8Kc0w27lH+1PTvwHl64Oy7Yt/85jer+eXxj398dY13Mz3eTbyHeA/TpQ8ss8wyaYMNNoj5IfYh06oPTJfxMZPr8aIXvah6p+uvv351ncltibrHmhl94B99YOmll67G9Cte8YrqGtj8A5vAIrCIPhB9YCr6wN57713Rc5dYIlgsM5crEjUPBAKB6YTAdKtLzO7T7Y1Mg/rQRp8G1Zi1VXjpS1+att9++3CBQfSB6AON9oF58+ZV86r55fWvf32jZSszXMzb0Qdmfh944xvfmB71qEfF/BDrT/SB5vrAtMBy2WWXrerx6Ec/urrGfD3z5+t4h/EO9YGtt966GtM2+e7DRb+IPhB9IPrA1PaBJz7xiabgcIFAIBAIBAIjikCfDPQRRSGaFQhMIwQOOuigdMwxx4QLDKIPRB9otA+cffbZ6eKLL67KPO6446przDUx10YfiD5Q7wPmhm9961sxP8T6E31gxPoACzTGev/jO+ZIuIWLfjBd+8AXv/jFar4ue/zpWs+oV4yh6APRB0a1D+y0007TiKIcVQkEAoFAIBBoGoHZxUBvGr0RKu+uu+5Ka6yxRuUe85jHpB/+8IfhphCD++67r8LeO7jjjjtGqGdFUwKBQCAQCAQCgUAgEAgEAoFAIBBYDAjEIwOBQCAQCAQCgUAgEJhEBK6//vqKnnvjjTdO4lOi6EAgEAgEAoHFhUAw0BcX8gM8dzKzzJkzJ/3nf/5n5dZaa630vOc9L9wUYvCUpzylwt47mDt37mS+6ig7EAgEAoFAIBAIBAKBQCAQCAQCgUBgmiMQ1QsEAoFAIBAIBAKB6Y3AaqutVtFzV1llleld0ahdIBAIBAKBwEAIBAN9INgi0wAIRJZAIBAIBAKBQCAQCAQCgUAgEAgEAoFAIBAYfQSihYFAIBAIBAKBQCAQCAQCgUAgEAjMaASCgT6jX19UfuoQiCcFAoFAIBAIBAKBQCAQCAQCgUAgEAgEAoHA6CMQLQwEAoFAIBAIBAKBQCAQCAQCgdmOQDDQZ3sPiPbPDgSilYFAIBAIBAKBQCAQCAQCgUAgEAgEAoFAIDD6CEQLA4FAIBAIBAKBQCAQCAQCgUBgaASCgT40hFFAIBAITDYCUX4gEAgEAoFAIBAIBAKBQCAQCAQCgUAgEAiMPgLRwkAgEAgEAoFAIBAIBAKBQGA6IBAM9OnwFqIOgUAgMMoIRNsCgUAgEAgEAoFAIBAIBAKBQCAQCAQCgUBg9BGIFgYCgUAgEAgEAoFAIBAIjAgCwUAfkRcZzZhdCPzqV79KH/3oR9PTnva09LCHPSw9+tGPTuutt1469NBDkzho3HzzzWnDDTdM//M//+M2XIMI/P3vf08LFiyo3sGznvWsdNVVVzVYeu9F3X///enjH/94evKTn5xyzkO7c889t83DBwuC0ec+97m09NJLpze96U3pzjvvHKygyBUIBAJ9IXD33XdXa8H8+fPTkksuWc0Lz3zmM9MnP/nJ9Pvf/76vsloT/9///V96z3veU5XZ9Hxx6aWXpo033rhaz3LOVd1f/epXpx/96EfJfNJal3b35sQzzjijWg9L262P2267bbr++uvbZWkb1lQ5bQtvCWzqWTBqAsOW6sXtNELgL3/5SzrppJOq/q1f55zTvHnz0m677Zbs+XqtalPl9PI8/fsb3/hGNbbLmHzc4x6X+h2Tpc4bbbTRuDlivYV7X5iI76U+UzlOmnzWbbfdlnbcccdx+z3z+le+8pXUa9t7wSfSLB4E9BVr3ZZbbpme8IQnVGusMf7GN74xXXTRRck46rVm1jrjyzjLedHZYN11102nn356+n//7//1WsyE6ep1VtecczU2+123Pci+Ze+9906rrLJK1facF81tBx98cBInTS9uKseJeh1++OHVfFzmNjjYx5jzen1nymmi7b3gE2kCgd4RmJ0pjUf0tPnzhztDWZetz+hEaHU55/TYxz62Wsf72a/18hbMxU3s/5sqx9zXxFmsl7ZL08S831Tb1SdcIBAIBAKBwGgisMRoNmvqWmWD0O1p9913X7foiAsE+kLA5u6zn/1sRTDdf//90yMe8Yh05JFHpmOOOSatvvrq6WMf+1haYYUVEqLJmmuumf77v/+7UWJJX5UdwcS/+MUvEmIW3FdcccXkHfzyl79cbC11IPvEJz6Rfv3rX6evf/3rFcOpVGaJJZZI++23XzrttNM6ur322iutvPLKJUujV4dDdbvnnnvSqaeemk444YRGy++5sEgYCMwSBKwP5oHll18+7b777unaa68dm///8z//sxK2sT6cc845SdpBYPnmN7+ZvvCFLwyStWOeP/3pT+kd73hHWn/99dOjHvWodNNNN1X1u/3229O//Mu/VMRpTHvEqI6FLIy444470itf+cpqjsZU++Mf/1iV87Of/SyZp62RiPET7duaKmdhlSb8b+pZTWE4YYUjwWJD4Mc//nGyr9tqq60qoRLvXGVuueWWdNhhh1WMJ8ycifp3U+V49kQOUfPFL35x2mKLLdJb3/rWpM6EcMxT11xzTbVv/eAHPzghA/iSSy6p2k5g8L3vfW/63e9+V41tAqMYgzCBjTK71cnzm5hruj2jxDX1LHM1IvxKK62UCC0hSj/wwAPpb3/7W/rABz5QCSLA4MYbbyyPjusMQ+APf/hDJWhq3fqP//iPMYFTfcj7ftnLXlaNIem6Nc0aaTxZ644//vhkDSzpr7zyyrT55pun1772tel///d/S/DAV2W8+c1vTi960YvSs5/97EpYW7+84oorqrGpLYRnJ6qzChAQcBb59Kc/nQ455JBkjuAI4X7qU5+qzik/+MEPJO3opnKceJb3ZK914oknVgKL3pX2m4Me+chHJkIE5j5zYMdKL4xoou0Li4n/QCAQaEWgz3vj2t7EuB72DFX2WW9/+9uTM4i5QXXuuuuudPTRR6fVVlstnXnmmYKGduaeJvY1TZXT1LmmF2C8syb2R021vZc6R5pAIBAIBAKByUPgz3/+8+QVvrDkYKAvBGGYf1KKmGlLLbVUaudsmLhhnhF52yOAcEajziG9SOtjKGJsbrPNNunyyy/vS2K//VOmVyhG5E477ZT0qQMOOKBikCAmIh4ev5BYQrtw3333rYgmNoOIJ6GB3tw71LcILGAiIZA0V/LwJW2wwQYJsaaU9JSnPKViSmH4d3IEAAgFsGZQ8jV1pXlOkKOU96QnPal449oHApE0EOgVAcSYTTfdNN17773puc99btpuu+0Swvs//dM/jRVhU/m6171uIMINRh2ikvVnrMAhPbThdtlll2T9evnLX57+/d//vdK+U+wyyyyTvvSlL1WEaEJimEXSi2t1iPkYdN/5znfSDjvskBDiMeOlM2/TvFtjjTXShz70oYrYjegirtU1VU5rue3um3oWTJrAsF0dI2x6IIAp9YpXvKISBNGPEUuN9dLH1dK43Hnnnbv276bK8byJnPnipS99acXsP/nkkysGurnIPv0FL3hBOuussyorSsZqt7GtzptttlnFlPv2t7+dXv/611fnLc9/4hOfmI444oh00EEHVdhg1HuuuFY3leOkyWeZ17fddttKuOjss8+uBIpyzgmW5vijjjoqEZDaZJNNUqe2t2IR99MHAeuAfkvY1VmW/21ve1t66lOfOq6S+oE46cdFPHijzxlHhGje//73V0yb3/zmN+maa65JW2+99YOpUjr//PMrixUY1GOBfXrU4Q1veEPCRD7wwAPThz/84ap/5pzTM57xjMpKhr2HNnWrs8ca38rCaDdP2J+YI7hXvepVlQCuOP1bWnnaOfhM1TjxrLe85S2V4MC3vvWt9MIXvrAajznnSpAJLsYmpv8222zTUWBBe5poezs8IiwQCAT6Q8C4tq8a9gxlXNuvPeYxj6nmL/RK7rjjjquUXNTKfG1e7mbBULqJnHKa2P83VY61oYmz2ETtLvHe2bDzflNtL3WKayAQCAQCgcDkIEBJ4OEPf3hFB2jHe8WX/etf/1rRDNIk/QUDfUhgmeKhZe5FtXP//M//nGiCDvmYyF5DwEHagZwmHW2U5zznORWhAPHwJz/5SZozTGHZzwAAEABJREFUZ05FhHegXWedddINN9xQyz1zvb/97W8rE7wI/7TsEEoRGOot0t9ooSMmCqehQiOBP9zwCJiol1tuuYqASeNn+BKbKwEhnSn3fktEhEWMHyRvt2ctu+yyleY7Qh7mFc2XbukjbiQRiEZNEQK0D401jCaa20zB0hTHcELQoMVV9iLWSkIz/QhXITAQuGHVpMkmffnLX05f/OIXK+sZhL+YP62Xb01jKYN5VOmkr8fzWxOZP8U8N4/tscceyeZaXHEYE9rsHrEfLvx111Q59TI7+Zt8FkxgA6NBMexUzwhf/AgQjHzf+95XMWbsZ6+77rrknWNAG9s0IOsCfcY6hmprzZsqp7Xcdvfmi3322aeygkSwDyO9NR0GISs1wvVfbeKvO4Rs45nW1vbbb5/mzZtXj678Oef0zne+M6211lrV8xCpq4iWH+V7zlSMk6ae5T3usMMOldAs5qg2tjQr0QJ+3vOeV7VdP4k9fytC0/feOkCABKMVIwDDG/OVINmCBQsqwYj58+ePNcAa18maE+sE3/ve9yrBakIlzPs7r9AOV94pp5wyRo/42te+VvWXsYL78KgzDUp1MYaZnG/NznIMAXdjTTrrs3yt6ZxrnT+Mb+d6TPLWNBtuuGGlfS+NtPK0ppnKcYIRtueee1ZjkkChtrbWx7mKJYDHP/7xSfvPO++81iRJO7RHu4Zp+0MKjoBAIBDoG4GmzlD2LAR1rdcY6WgfFBo4wjTolOY0FSTQbG7mH9Q1tddoohxzvLnenPfkJz852bsNchbrFYum5v0m2t5rnSNdIBAIBAKBwOAI4H0RAG7HdxWGL0uBL+c8+EMmyBkM9AkAiujphQDtipe85CUVY07NbExJ29NCyTkn3xlCXMBEF0/ynhk1+dzPZPfTn/40/fznP6+aAAOMheqm5SfnnEijkn43wdBCb0kSt4HAOATmzZuXmE9GvBsXMeQNTRSEPBoWFrwhi4vsgcAUIzBzHvfVr361YrAde+yxYxrcpfbWCgTfk046KeW8aEP5X//1X+m73/1uSTLhldl3THnryoSJe0yAgW/9lhxBqc4oEFaccPHupZePvzhElEKEIkBgPitx9asymLYlQOD7hq2MpqbKqT+zk7+pZ8ECJp6jfbDib3XCxQuXXj7+cNMfARqO9nG0OZ/2tKeNq7B1lSYkM8CFiY4hQ2htXMKFN02Vs7CoCf+ZizbfSEiYtVUwRji30UYbVRqr/MYk5hR/cddff31iCtW9/YRrO+ew/PSnP72Kkt4hurp58Ed/1+/dGgfGA3+rEy5euPTy8ffj5JFXHmUpk7/VCRcvXHr5+ItDjGbCmrl6ZxqWhEpc/YqBR+NL2De+8Y10ySWX8IabAQhgkhsn1u2ieV2vtj5/8cUXj7MuZa0nOFNP5x4TwDpYxkE9PudcmW5n5UU4QXTP5u/XycfqgXyE1J2/+VsdYQ/jWzjBlauvvpp3nGNVzVqYc05MHbcyWyQWJi7nXAkUyCO8uKkeJxhgmG3mWwJ7pR6t17lz51ZmmoWziOdad9oxbNvr5YU/EAgEBkfAvLrKKqskczGB23pJ/ZyhmIBnnv0jH/lIZZWiXg6/vQrGcs6LzmLoeixGiuvX2TPYO8hnL2FPwd/qhIsXLr18/MW5F+5eOun5W51w8cKll4+/OPOZNcj9MGcx+SdyTc372qAtnqdt2sif0vhf4eKFSi8ff7hAIBAIBAKB2YVAMNBn1/ue0a3FDGYqzgatNITkO0nvcu+KQM50HD9HY66TRor4meJ8w9WGsZf6wsQGnfaB9veSJ9LMXgRyzpV5VVYdZi8K0fJAYGYigMGCwc36CGbKWCtaPK997WsTs4Il2Hf5ir/bFcGctRdu5ZVX7pa0rzha4Bj5MnUTCkO8Ei+d9DRv+Ytj9hXT0D1N15wXEabc1x2iGIs1wi688MJ02WWX8Y65psoZK7CLp6lnNYVhl6pG1GJEACOYhvluu+3WVvu6VM0nG5ixLPe01O2Zy31T5ZTyJrrq3ywgSbf22mu7tHU+06DuIjGlfB6HvzhCfbS03PO7tnM55zGrE4jR9bZLP5XjpKln3XzzzemMM85Q/USbmLZvddPmhwa6edIZwWeGvO82ySJomiFgHcIktzZ3qpo1nRWWnBetawTCWZOop/cpJsLiZSzV44pf/yjraAkb5KrOv/71r6us1lMM7uqm5YfFrvI8Y7gwVkoyQkElzCee9PES13oVJ43wIlTCz031OIG15xLA0wb+di7nnAg4pYV/BBwWXsb+5Wui7WMFhicQCAQGRqCpMxTTshjirF2hw3WqUH0+65Sml/Cm9hpNlWPf18RZrJe2NzXvN9X2Xuo8pWniYYFAIBAIBAKTgkAw0CcF1ih0MhC49dZbUyvhvN1zHOYd6utx7TRS6vEzwV82pep66aWXJod3/k4Oo8O3IoOQ1gmhCK8j4FuDXD0s/IFAIDD9EcBUpnX9ohe9qGtlEdCLBL2Et912m0tXxxTzvvvuW33jsxuRv2shbSKtSzTvShRtteIv1/q1Hk9YQH7xCF9lX/CYxzwmWfeEt3M551SYeRhNyinpmiqnlNft2tSzYNAEht3qGnGLFwFMY++Zdmq3muScxwnH6GPylTxNlVPK63bFHGKSWhpamt0YvznntOaaa0paOWOyXm/7+Spi4Q+z0532vffcc0+66aabFqZKlSWOusa78qZqnDT5LBYD7rjjjqpNNNrMb9VNmx/CjwRmRf3whz9MiMv84aYvAoQ8aJfvuOOOydrcrabGiHcszd13352MMf7i1ltvvfSe97yn3Ha8FoZuXTu6Y+I2EeqsX5Yo9Sr+dldW4Uo4s77mpXJ/1VVXJc49wXefxONv58RJIw4Dm3U5fk59pnKcFMaYPcRZZ53V8TuLzuyEgtSRGX3X4rSbc69d2sffzomTRlxr24WFCwQCgeEQaOoMZX71WRrm2rvVSDpOGsJvPsHH349raq/RVDnmdvOhNtirDHoWk78X18S831Tbe6lvpOkPgUgdCAQCgcB0RSAY6NP1zUS9HoIA4liryRzaKg70rYnLxrSE+x4CydByPxOv9Q35BRdcUH0D0wG+U1tyXkRQDQ30TghFeCAQCAQCMx+BFVdcMfk++UREeC2l7ebK0Wxz7eZ8jxVDppM5wm55u8Vh6BWTrogtRbusUx7x0omXT35+hC/fheb3vVGMAf5Orm7eFpOvMCKaKqf23I7epp4FA1h4EGxgxN/JiZdOvHzy84ebvgjMmTMnHXTQQamTmeR6zZkTxrAWhiBbZz43VY6yJ3LGVC/COaWcull6mvPylziCQUyeurfvpV3dbt+LoXbFFVekJZZYIr3pTW+SfMzp5/q7AP3fOODv5MRLJ14++fl7cdLKI60ylMXfyYmXTrx88vM71yAQ83P1edt9qyMwYB0Qzjy3svjDTW8Edt555+rzSRPV0lptLEhHs7uMc/e9On2KMLn0xkjpL+57dQRVaMD3mp7Vl1JXlmzqeX1CpoxlbTNndSpXnDTi5ZGXX5umepwQCsh5kTUA2vBnnnmmqjzEEY6gqb/sssumV77ylePi1V87BGqX9vG3c+KkESePvPzhAoFAoBkEzIWTdYZqV0MWJa315gaf4GmXZqIw+cs6bw9hL9Etj3jppJFPfn5X9/zipePv5MRLJ14++fmbOtcoayLX1Lyv7trgedqkbfydnHjpxMsnP3+4QKAFgbgNBAKBEUYgGOgj/HJHrWk0Txwe6+064YQTEiJ4PYy/lVmO+OQQKm6mOhLohRChDR/4wAcSE3CtmIgrjsbgRObrYeW7ibQXCR7knNOSSy6ZmANkiqqU1e16++23JyZGEXlzzgkxb+ONN06+2cmcZmteUp+f+tSnKk2hnHP1Xd6cczr33HPHkpY0TF3l/I80G2ywQbr33nvH0hUP4YpjjjkmMWFYJPtpauy3334V8TnnnEjyH3LIIRNq7ysTrjT9tQMeOeeEQL333nunVnN80rdzylCXHXbYIa2xxhoJEcQ7RDBWjvq1yzdVYQjVvqvp/XV6pnH3la98pTIhmvOi9+D9+hbyRERy7deHtB+hqdMzvLuDDz44sZjg3Xqm9wQrfZJpagemen7Y+ebjC17wgoQphsjOeV/em2fX04c/EBhVBMxLxkC/7TMndctDe8o8ZQ7tpkXarYxOcXWBOPMyQnuntMLFS8dvvpCf3yddytyw/PLLp4nWeeWYV+RVRtFca6oc5U7kmnqW+sPC82CjbfydnHjpxMsnP397F6HTAQFrWqtFpV7qRfsHo62kbaqcUl63q32F9blbmnocoZci/EOLqU6UtO/deuutx5J/+MMffsi+136MlQwm4+0rN9poo7H0PPq5/s6v/xsH/J2ceOnEyyc/fy9OWnmkVYay+Ds58dKJl09+ftqrtE35OXtG107OvGcdKPE/+tGPijeu0xQBAi60D0vf77WaxgthsV7Tl3TXXnttOu+885I9v/GScy5RPV+dy37729/2nN6ZsPRvZtzL2FYOoZdS0ET9W7p6GnmVsTjGyQtf+ML0r//6r6qUHnjggfSud70rMQNcBTz4Q1CAJiqBns9//vPV+e/BqKTe6l/u6+0qYa3Xehp5ldGaJu4DgUBgMASsnZNxhmpXG+eV448/vqKzuU50DmtXhjB7BXsGfnOsvQR/JydeOvHyyc/v6p5fvHT8nZx46cTLJz9/U+caZU3kmpr31V0bPE+btI2/kxMvnXj55OcPFwiMFgLRmkAgEOiGwBLdIiMuEJhOCCAatBIaEMww3epMdMw3DLRSdxKe7373u8vtjL0yAYchXhrg4O6bl9tss03qh1hZ8rtiHpCMf+9735u22GKLRNvw0EMPrcwJYqozz/fZz342dWNGSrfKKqsk2gW+qYsBussuuyTaQsoksYkBc/rppycOAUd5CKGIfHXTvOpUHOKvNDSSCEqU8PrVu/7MZz6TEFnnzp2bMGpt4qWhaYHwjPlaCD423XvssUcifMA0sXTtHA0eRCbmjp///OcnDGZ4X3LJJUkbaSD85Cc/aZd1LIzgwDve8Y7EtOK6666bfvrTn1YY+Xbh+uuvnxBX1llnnYTQMpZpij3ev08jdHosAi4M/+3f/i15pwQifIvRuPvSl76UmBX1/lvzO1hgiCOeORwSbGjto4jeX/3qV5P379196EMfSnBnLcL78Z68X7gfffTRqW5J4aKLLqpMNRMgOfXUU5N6yvv1r3896VPwxYDXz1L8BQKBwBgCBFrczJkzpzLLzt/OGXvGvG+mb7rppu2SDBVGA6OMTwI5xSxqp0LFSydePvn5y3zPj4mEKcHfyWGeW1vEY/TREONvqhxlTeSaehYMYOF5sIERfycnXjrx8snPP5JuFjYKcwqTKuecNtlkk4ERaKocFTCPGGf8nRwmU86LmHnqX/Zr0ueckz2cfZh7+wH73rI/sId5wxvekOz5Dz/88EqQM+dFZWn46iEAABAASURBVEnP6ef6O7/+bxzwd3LipRMvn/z8vThp5ZFWGcri7+TESydePvn577zzzqRt/Dnnak/O383RUi7xyrGXKvdxndkI0PwuZvmdS5ZZZpm+GqQv7b777slZj0Bsva/0VVBLYnNFS9C4WwKwXAks+3jnxAULFpTgZD8ydtPBU08jrzKaGCf9MqPRIZyTCUSrqnOl+faII45IBNKdRwjyOgedffbZlWCwdMWpt/qX+3q7SljrtZ5GXmW0pon7QCAQmHwEej1DtauJNR7dA83y4osvHhPEaZd2ojBrvPKks4ewl+Dv5MRLJ14++fld3fOLl46/kxMvnXj55Odv6lyjrIlcU/O+umuD52mTtvF3cuKlEy+f/PzhAoFAYBohEFUJBCYZgSUmufwoPhBoDIFVV101YVy2FkhjBcPs2GOPrQ6vzLlx0tHC4cfEcz+THcbAgQcemOqS6NqDGELz7uSTT67aL6wXh4H51re+tUqKubvTTjtVmgm77rpruvzyyxPBA8RKzMxW6foq08IfJjOVgUmOkU06ExNjn332Se973/sWpkgVcx8BdPPNN08cJjeCg0hEIEx6/m6OZDDGR2samuFve9vbKk33lVZaaSwa0cKz9t1334TZS+KXuf9ChMD89T2+sQw1D1ww/n3LCXOWBqZ65pwrjXlCBgi2rQzhWhGVwIF3RboYA115hYiE+MIcMolnxKQ999wzqV89/1T4bf61EZGn3fNuueWWhHH24he/OHnP73znO6v+wcwZpjmiN2I3AY76wQlx54ADDkgEHwgRtCtbGM18fbquSaO/IYIrG876tbQwK0wvWrH6nHHP/GX90wa00fVXefQ5pqf5wwUCgUCq5hmCRbBA4CV4xN/OEU4hXW+uMk7bpRkmjCBRyW8OKOO7hLVexUtXwuU3h7mWMGuWdOW+3dUaUCeAmMebKqfd81rDmnxWve2wmajt4qUrdarnL2FxnR4IDFKLst6xwlMYzoujHIJzRUtHf++XyNi6H7L/sr+t7+M//elPJ/OXvaF9Bq1Me9iyz6q3u97P9X/joB7f6hcvXQmv5y9hna71tMpQVqe0wsVLx8+V/BhkhA+E2f8UPN13cvaUJc681opjiYvrzEPAGMKsdubZaqutKqtdvbTC+DMvsDCGYUPIFPNGeC/5W9NYO1dYYYWx4Prefyywi6cILmNaO2uVpM6Qxd/pWk8jrzKaGCelTp2e2y4cPYJAsT2HeGU4e5iP1l577eRcCxuW3HIeL9Cj3uovH1dvl/t2rp5GXmW0SxdhgUAgMHkIWFN7PUO11sI+5YMf/GAiAMjcOcUQ63Rrul7vy15BensIewn+Tk68dCW+5C9X4eKl4+/kxEtX4uW3nriWMPOidOW+3bXdWaxdunZhTc379Tpr00R1Fi9dqVM9fwmLayAQCAQCwyAQeac/AsFAn/7vKGr4IAIk5m0+MdceDBq7OLxi8DH3TdscwY15Z9rC8+fPH0s30z3M6F544YWJ5nK9LTbhvqNEI5h2rs1sPb7VLx5j+Hvf+1765Cc/mWBbT8PkvW/kCcPUJG1fiHnCOPcf//jHE2Y44kydkYmIiRFfCHo2yt6F52LMLrfccooY2nkO06TeO0a1AjF1fZMO0x+hicSodK961asSZrU06oGhzl93whFmMdcxyesa/yWd8mjGl7aV8PrVplodhNGMbtUEsgGntS8ec1p6/iadPoFYRuu/1RkbL33pSxNt8nbP9G4JQMBSW7W5ns77fvnLX14FYWQzzw47AfPmzUuY4AQ7jElh7Zznb7nllkkfKgy673//+4n2me+cEjrAhPc+zjjjjKRc5Xg3LALwk0J2rTvEK/cEJxAK+cMFAoFASqxNXHbZZZXpQJpoZdy1YsO6BuEj5pDr83prumHur7/++mGyJ/kRpIoG+aCFEWJqqpxe6tDks2DQyzM7pRk2f6dyI3zqEaDlbW/oydbu1j2d8F5cE+XMmTOnEjYszyPEivBc7ge52vuef/754/a+5jP7T+aUWwVL688Ytp/3k7+ftPU6Fn/JT2PYPqyE93uFjbmm33yRfnoiwHKXMUSotfX8167GzsTWekKlhGkw4KXDuHnZy15WaaJLI6wfh4Fezi7y2WObM/j7cQR3B8lXniGvMpoYJ5gxpdx+rt6Dua0I+sprP+E9YZx3OiOqt/pLP4iTVxmD5I08gUAgMDgC1lXzKkGmbmeo+hOMVVYY0X3Q0sShq6FzUPK58sorBfXtyl6h74wPZij5y/XB4L4v8ttrNHEW6/XhTc376t7rM9ulGzZ/uzIjLBAIBAKBGYzArKh6MNBnxWsenUYy146o36lFiAMYcJi3b37zm3sye9iprOkajpF48cUXp/e///0PqSIiCeIISXgb2ockeDCAZDwNQxr9q6+++oOh/7jknBPTvSUEo72YrSphNH6++93vVrfKyHm8lL16FiYrIqdDR5V4En5yzqnODNJH6kSe8kjfrivptKcVI7gwWZ9zTsyvtzKOSzkOQu3KL/HyPeYxj6luXd1XN21+YIPJ3iZqqCDlbr/99pXWP238uvPNPn2o0wOYqqdlTiihThwq6WlEMSNZ7jHqaceU+3LtREAq8a7Kchjlp2XBlHvBa+mll65MsvpOZM6L+ledMVD3y9/qaMO3hsV9IDBbEaAxhfBgbkNUb4cDYrIxuNlmmw1lBrpd2REWCAQCk4OAvRirLvZcxu6gT2miHEy2DTbYYKwKhN7szccCunjsB+bOnds2BWEe5k9b9xWszRAgpZnZNmPfgZEhEJg+CPzqV79KrGHNmTMntRNobVdTjG1nPJrQmO5lT13Sfv7zn08+zVQEX0v4RNecc/LZr5LOnOOzSeV+oms3QZeJ8k7H+Pnz5yfCwo94xCPGqkcw4e1vf3si8M8/FhGeQCAQmNEI9HKGqjfQecpci/GOJknJpR5PAcHehWJJPTz8gUAgEAgEAoFAIDDVCPT2vGCg94ZTpJomCOScK4Yac+HtNNFVk2QnIgNG8m233SZo5Bwz6b63hijZTkuaZCsCZqf2Y45isNI072QaksYP5i/waCJ7Fn9xzL7T8i33rdecc9poo43GgovZq7GAxeBBnC3MWloCrcQjmtpwYYKUib5Bq4ixi6iCgOLqvlNZTPHBt1P8oOHMLGJqa2Or894w0Otm78tzpGU+3XXdddcdJ5hQ0rgSvnDlSB6X7zO6H9QRSiCc0C0/ywBf+MIXEsffLW0Q1LuhE3GzCQFEeJ+uIOzUySy7MX/00UcnGhM00Iuw0WzCKdoaCMw0BBBp7QftMw466KCEgT1IG5oqx7N9ZqVYGrKnonnVjplEy5oFm7IHskfrVH97SAICBCH32WefVD8D2Lu95jWvSQSEPH9Wu2j8SCFw0kknJZ8u+uhHP5rWWmutntr2kpe8pNoj2yf7VJO9MMHi+pgxZwwiZGoMOhuoiD2DTzYp333d3X///clnrDCPhOecE6FY/lFw2n7OOeck2uYE2rfbbrtxzTLnEVZsFdQelyhuAoFAYEYg0MsZqrUh9jKsPZqHWf5DR6OoQfCmpGW14rjjjiu3cQ0EAoFAIBAIBAKBaYzAtGWgT2PMomqLGQHmuGlYMwleDvHtqkQCn5noUZbsJM2KOELDhymoOg7MQjGD3WoeHMP20ksvrZJi7uacq+/p5Tz+aoN/zz33VOn8tOKIKCqcw0B1bXWY8IUJ04542pp+cd4jcjAhrg69MHKl6+Yw4A8++ODkWtIhuNB833HHHROt/hI+1VfaKOuvv3466qijKnPO9efrL8zKC2PyPufx/SLnRfebbLKJJJUjjMDyQ3UzyT/qjlDF8ZfHeX+IdbvssksJimsgEAgsRMD4ROSm7UArjSbnwuCH/GNQ0Urz2YQnPOEJD4lvMoDw1jDlWfsQp6wxw5RDI66pcnqpR5PPagLDXuocaaY3Asccc0xi4YeATK8MtnYtaqocZdtDEeQsDDtr8xvf+MZUBO3sQ5k/fvGLX5wIdMrDEeprp4HukzgY5xtvvHGihY4o7dvO9X2vPRXGfSszbyrHSVPPYo3nkY98JEgGcgQoCdoOlHkxZ4rH/wMBn1M58MADk/3uTjvt9I+IPn0EU+znabKXMencdvnll/dZUko+kcZSF414mY07AtuEqp1xnPWuvvrq5LNZ9hM5Z8kSwWTj243+veyyy/IO5Ah+K085w44Ta3K/ldDOww47LLH24TNUznrmz3PPPXeckIC5ypkEJuUZ6txE20t5cQ0EAoHJRaDXM1QvtbBHoMBAyaektwfyaYZy38tVOb2k65TGGUpcE+WYQ5s4i6lPL84c2sS830Tbe6lvpAkEAoFAIBAYHQSCgT457zJKnWQEfHfmkEMOScyIt5pzrD+aZOc73/nO1EpQq6eZ6f6ccyIogOnJxH29PYQIaC3Y/JdwWJCCdY8wgxDQi9trr71kGXN1JgzT8QiiY5EPehBtisb3sBvVB4uctMvdd9+d9BcPIKSR8yKij/thHeLJKaeckphTpCHm21mIwZ3KJZxw++23p26uHd6dyusU/sxnPjMVLbGSBlGNpLV72hW99A1pWvue/FPhEOSNcWbePe+Tn/ykS7hAIBB4EIGzzz67MjOKwfbc5z73wdDxF+uCOf5Nb3rTOMsh41M1d1dfPwi/mCO7lS5eupIGEZ+/tZz6Wie+1dF4ZYFDeM7/0IhrqhzlTuSaelZrOTDq9mzx7TDslifipjcC9n37779/4oZZg5sqp44WCzE+71K0Tu0nMNByztXnlbbaaqvKohTtzZLPpyUwx8q96xlnnFF9igaBlrn2IjhHgFa96+0mTEoAyJ5EXm4qx0lTz4JBwc18Zd7Slm7OHrbEy1uEV0tYXKcEgcYeYk1mxWrttddOzrul3w/zAObct91227EiCPSO3fThsY/wuYciwOIs/uxnP7uyCuHM96IXvSjRVKflXsbic57znITx4TFLLbVUqgvp1fuu+Haunoa1DWU0MU76xVV7vI/dd9890fR3nss5V4LotNGvvfbatM4664w14Ytf/GJi1asEqHcTbS/lxTUQCAQmF4FezlD91MD8hRZUmMCsRfbLQG9qrzFZ5Qx6FusFx6bm/aba3kudI00gEAgEAoHAaCAQDPTReI8Nt2L6FocAvN9++yVmaGm0zJ8/PzmsIpotv/zybSsuzjeI2kaOUODjHve4hEm72267jWuVsMIwFwHD++67jzdhllaeAX4QS4oGAi0GJgZbi0H0Q/xDUEFoaI2fTvfMndPQbLJOTBiefPLJFaGI1v8ll1ySaICuscYaFaGp07NYWEBo6uZob3XK32s4LQjf6iPoUPJ4X+XgA5MSPt2uDpwI5xtuuGHacsstq3lgm222Gdh87XRrX9QnEGgCAeYCfdKEtQnjpVOZ1kjEdEI1GFZMIrdztMxKGSx2lDTnnXdeMt+XuImumGGFwcN6xUQCQeKlU27OORXCfV0wy/yqNmLFAAAQAElEQVQtnTSdHCJVIcQjwhQBvKbK6fTcenhTz2oKw3rdwj9zEGCufOedd040U2k55pwHqnxT5bR7OC1U49Leh6YmTVqEY9Yu7D9ZssFYlzfnnNzzF2fM0zb3aaZ3vetdqXWfX/a9yi15mENdsGBBuU1TOU6aepa5qRB37cfMW2MN6uCxJypR5sf6d5lLeFxnBgLOaQRB7MdpMWO4NFFza659sqvy6n3GfUq9/zp/E2Zn7cyYNgaNcYz1P/zhD8mchPFUSjQXYB6793kwY4Wf66Ue9TTz5s2r9vpNjJNSJ/XoxdknYaBLu+uuu1b14C9O3b797W+nuoYpjX0CEdI01XZlhQsEAoHJRaDXM1S/tUBDMyfK50zSyxovbXHmzzKP2ydNdPYRL538Of/jDNVUOU2da9RvItfUvN9U2yeqb8QHAoFAIBAIjA4CwUAfnXc58i0h9c0cHA2U0liHV5poRQO7OrCWyNqVqXJEvFrQjPJiTiA4TlRpkvQ0cEnBl7S0mW+44YZym5hlL4yOTprjY4m7eDCBMV8l8QyaBog+7otDRED8k64ukV/ip+v1zjvvTA4bw9QPAQkxmElR/RYDS18dpsym8yIc0d4ughDKR+QpbXdwFDadnHngtNNOSzTZjGlmXGm6sBowneoZdQkEFjcCPrvBbDLGkzk4584MNkRhFi8QwTfffPNK47Pd1fdYS7uYLS1pdthhh2QdKHETXVdcccVUmNf33nvvhHmVLZ1ymW41/vkJ0xUtjl7mbUSqsv4pY+7cuYpJTZVTFTbBT1PPagrDCaob0dMQAeu0vQWBl4985CPJ3m+QajZVTrdnqxsByn333bf6LvMee+xRaWgKZyWJFrn8tFppoPMXd9VVVyX7kJxzoolbwutX5WBoMQcvHGOe6Wt+birHSVPPmjNnTvJu1Z+bSJjRns1+SFquWOThDzezELDHdWYgnHbCCSekuQ+uUU21AoPXGqq8IqTBP4iz7zYujWnf+TXGN9hgg7TUUkslgtvnn39+Vay1/l//9V8rvx+MHxYk+Dlj1rWbq6fBvPeMh4yT3/ymWxHVuW7YcXLBBRckZRDe8QmYdg8k8MDijz2GeIKH5RzeVNuVGy4QCAQmD4F+zlD91sI8wCqHfCzGYArz9+qa2ms0VU5T55pe2t/UvN9U23upc6QJBAKBQCAQGA0EgoE+Gu9xVrQCEe1Tn/rUWFtt1miflgBEBppz7ZjozDxzJe10vrarG4I/wQHXdvH1MNrEmCD1sGKaXJiNp+8V8dPexzTh79flnCuzgggn8jJT94lPfCIxEUvz+mtf+1qiQcEkMOImIqd009U5vDjEqB8T5nVijbB+HEYPregLL7wwMZeI0J1zZ+ZVa9m01BHRurnXvOY1rdkauYeDPqQwhG0Edv7p4nxjELb6EyKjcT9d6hb1CASmCwLGLcb52972tspMcs69zz9T0QYE/CJUhak90XwrXjp1Q3RinYMfgbpoPtCkxUQX3skRGjOvisesM9/xN1WOsiZyTT2rKQwnqm/ETy8ECCoy7YwRdvjhhw/MPG+qnEHRsZ8lWGg85pyTvSTGU708jCf39iRlrLpvdfK9+93vHguu73mncpw09ayc87hPaTj/jDWujcees2jdY+yZI9ski6AZgMCZZ56ZTjzxxGSvS0Ou6SpjenPKLWsnf5POmMZAJvimXJ9pwKzgL85nrDCR3FuXCYHwt3PipBGXc07l7J/z1I8T52b1cI52nuZv58zPzirizHX2J/xcp7aLa3Wd2t6aLu4DgUCgOQSm4gxV5mGCTN32N+1a1dReo6lymjrXtGtra1jOzcz7TbW9tX5xHwgEAoFAIDC6CAQDfXTf7ci1DDOyHMY1jgZ0q0YvIhpTckUjTTqu9fAqbCY530tjJp3J3F7qTdq/joHNecnn0L/CCitUt5gS3/jGNyp/tx+EVsTNQjgoaTEx4c1Mued9+ctfrszZIXYec8wxiWlOhCDvpeSZrlfMc4RH9aOlT7OZfxB30UUXpWJinRZ6IRINUtZU53GgKAc5DHQaYhPVwUHzPe95z1CfBJjoGeIRiQ877LDEnCsC8aqrrio4XCAQCNQQMB4RbhGsfaezEGlqSca8hJ3M770I7SCKH3jggWN5ze/CuFtuuSUtt9xyY3ETecyJtOOlk78wyty3c+KlE/eWt7yl0nDjN1cVzTZWPwoTSVw7Vyy5eP4WW2wxlqSpcsYK7OJp6lna0ASGXaoaUdMMAWOVyXYCoYceemiy1+pUReOFCeh28U2V067sXsMIvH7961+vkrOQMaxQIKFa+1AF2pu6clM5Tpp81gte8IIxKx0shBBO1Z52zl6e4Kc4zMVOmrHiw01fBDDPfcKJQPIqq6zStaLGtjHeNVGbyLvuuivZSzvv2Ee3STJ0kLPq5z73uaocliFYqKluaj9rrrnmmFUJ2ur2LbXocV5x0gik8c7xc9N5nKy33nqqWDlzQ+VZ+NNU2xcWNZ3+oy6BwEggYL7p9ww1SMOt2/LVhXnd9+LMJ03s/5sqp6lzTS9tl6aJeb+ptqtPuEAgEAgEAoHZgUAw0GfHex6JVrYybx/1qEclm5/WxiGi2Yy2hrdL25pmut4TFEAQZJ7dxn6iehIYQFyRjoS8by3xc76/ttZaa/FWjhZvN6YDAo00iC6EFqpMtR8MeCbtEO+YmZTes5nuY1q/G/OmVkzlRdStPC0/9fa0RDV2C+MNN9xwrDxCAYhMYwF9eJiuL8m9t+KfCddll102lf7iXR5wwAGpW5/zzoo2HMGNyWyjPvazn/2seoR+lfP00qqtKhY/gcBiRKCMR2OxF+3U448/PhH4WRxVxuixXns2ATGf++BvdTSwvvOd71TB0m+00UaVv/wgIlnn3CPcu7ZzzK4WgSCWaupEeOmbKkdZE7mmntUUhhPVN+IXPwLWY3sx2tX/8R//kSYSTLQPIRjTWvOmymktt597wnm0UuXB7N1nn33aatI/61nPkiT9+c9/rkxCVzcT/OScU8lXkk7lOGnqWTRYN9tss6oJNND/53/+p/K3+yHwSfAz55xYHpnJ55127ZsNYcbEnnvumU499dTkcwbd2uxbttJaG7ulaxf3ox/9KBE223rrrZP1tF2aYcII0/k0lHOgdZklsnZzlTDWuTzr1ltvTeY1/nbOvp/QkDjCNpg1/NxUj5NyPnLeLVrx6tHNEVZQz5KmqbaX8uLaBAJRRiCQ0lSdoX7/+98n5xU0l7r1nH7eQVN7jabKaepc0wsG5tMm9kdNtb2XOkeaQCAQCAQCgZmPQDDQZ/47nDUt6JURibGOeVAHpvXwWo+bCX71R4j43ve+lzArbfA71RtxFEO7MCN8H3q11VYblxwBomjq3HTTTelVr3pV+sUvfjEujRuMa0x7TBbf2WwlytEg+uhHP5poJaqjPP26et2++c1vplLvUo46eH4JpzGpjSW+qWvOOTE3v+SSS1ZFXnLJJenoo49O7Z6FEYOZKyEikTryF1dnOHsXrWUw5Ve+h1fyNHJtoJCllloqIX7lvIg5rc+94Q1vSOrcWvzdd99dEWsRttppmLSmH/YeEb0QDAnUtAp+wBkRctjnRP5AYCYiYF3oVTtV+zDYaLzVtaSEN+GMxUsvvTSpj6v71nJZu6BtJxyDvGiYua+7G2+8MWGwC5NePv7iCHZZ09xrTydG05VXXlmtc0sssURl1r5Ve7epcsyV1sv3vve9qVPbm3oWLGCi7cNgKH+46YuA8cP6ir3Ql7/85TTRfst+jvBbq7BJU+XcdtttSR//whe+kFr3PxOhaDxjnBHKXH755SuGYSdT1TRkC5PvlFNO6fosTDZ7BHtKGp71ejQ1TsyxtIO333771KntTT0r55xY9kFgN6fYH9fbVPzw98kk96xxrL/++rzhZhAC1qbXv/71yWfKaNZ1qzpLBM6BmOxlDXMuwoxRjj7aKT/GO4a2McU6Tc6L9vn19OYI61a3tbuevu7HmPfZKsxwZ8yvfvWrXYUBWIGxFjrfGd+eXS+PX9hZZ51VncWklUd4cTk3M07Kc4xtc6fzTXlG/fqKV7wiOY+r8+mnn17Vqx5f/MrzTtyvu+66CcOHvzjt0B7lDNr2UlZcA4EUEAyNgLnTvIemMZGFHw9rd4byWcTzzjsvdTqHyMeddtpp6Zprrkl77rlnMg8Ia3UT7bOa2ms0VY52NHEWs9+xv+x2hsq5mXm/qba3vru4DwQCgUAgEBhNBIKBPprvdSRb5QBabxgp9141hOVtPbzWy5rufkIBCI3qiXi38847V98ad9/qENE/+9nPVsE0e9p9fxxRcu+9967S+MG48C28DTbYoGIaM7tOIhZRk8YToi2/tMXRiME0RTDhL4zNEt/rlfRnYVojDO+///5V27zbs88+OzH/h4BYhCIwUoQjBCEa9foc6Zj+RtTgb+dYLnjHO94xFvWhD30offjDH051QgrCEMKHA1Za+If4geiFAIJovTAo1QlgzBj6FuB9992XaCzst99+ianSIoyA4Cufg9tll10m+0AO/hj7JTP8EKjLfT9X9aPFVPLoU/DHSPeOuK222irNnTs30ejUPhoVJX251t9P3V/iW6/SdHs/+mAZx9rmcOU9aDtGv77i4JrzIqIgXEl5e2eIjq3Pi/tAYFQQMG7M1T6dQbgEA8mnOjo5nwUhXPWSl7xkQk3WQTCiEan8I488MpnjEZralYORJp3xjGBlHqyncy9c/HbbbVcJ99Tj+XPOCTNg9dVXr7RUjz322AQPccURakIUF26+bmUsSpfz8OVgZqmnZ5n7tR1TX/l1l/PwzyrlNYFhKSuu0xMBfchndBAWrXOdxrXwJz3pScl+zlrJ1VvURDnGEk0jfdw+0R7JuKo/p5PfJxRYJrImI7ayfjF//vxOyRPipj0ToRfm3o877riHjG2ZnQfURzrp5RNed02ME3sfDDb7cG0nvGKOqj+Hv4lnKQdGCOz85vdWoUHhPqXhE1f2+/b+hakqLtz0R0Df9VkSZ5pddtklGcPdHO1rAr7mgdI679+9sy7T7/bBrWPSWY1Ahv7hE1P1T3uVclx7XbulrTt985WvfGX67ne/m5zZrPkEOuppWv32IWXcGtvtBGCFiZszZ06ytsvTWk4T40R9nXGMbcwbAg3munbPMucJt8Z3Emwx1xGyUe9PfOITD/nchnY00Xb1CBcIzHQEFnf9zZfW2GHOUOgMLHv4dB/6iLOAebfeNs+xZptjjjjiiLTrrrvWo8f85p5e9llN7TWaKCfn4c81vZ6hANXEvK+cJtqunHCBQCAQCAQCo49AMNBH/x2PTAtJfWPilQZhEjiwl/ty/eMf/5h8L7DcI6hhtCEalLCZdn30ox+dMA/VG/GEZjQiKUIh4gKJV4f/t73tbakwI5ioRZws+eQtLuecEGpol5cwV0SZHXfcMdlMOvj7LjjCDE0H8XXH5B6GratnwTfnnHLO5eBcXQAAEABJREFUiXltxBlEIEwNhEZmAx0cUsvfOuusk4rEqqh99tmn+o46U/Obb755wtBm6lOZ4jHBtRvTlva3MExS2kf8HExan+UeRjbn0tAAR4zmLw5T24GGYEAJO+iggyoGE2IHrS/tgc+LXvSikiQhlFx33XWVVoJARCPp+NUXwXWppZaqvmfpW74Y5dolnnPgIkSAcOV+EGc8XHzxxWNZHdpYCMCUHgvs0cPag4PkNttsM5ZDOxDfMda5k046KSF86x/t+pjDHzP+pQAaLQX7Euad0NAgRCDMeyORzd/OIcrVccM0X2mllSrC1Ktf/eqE0Mz8pbEhv/cij/dhHhA2iS6KDgQWCwLGEUEpAj/8d955Z2Iho5uTZs5CgrSxMRmVJlhT5mdzx9VXX932MdY2mhisfzA3bW4xn0vs6l64eG00N4lrddYbTAFCUHvttVdCsEbMko6QDcK4+QIT0tqXcxb1EDdsOYSt6vsPbVdv82Hrw4Z9VimvKQxLeXGdXghYxwnt6Uv2t93GtTj7wZwXWdTJ+R/9vKly7LvrfdyaXcZaJ+TEE1xh7UId7ensCTH7OuUp4RhZhDpptNqf2s+rg7kO85qVH3tQYRht0pe89WsT44SGb71Mc1NrmPgmnqUcDoH9qKOOquZ01qLgXdqOoW//aB9k79NuL6aMcNMTAcxzZzYCJfqysTGRk85+t+xztcz5q+xxnckwcAjROSvSkiZ07bMGxp+9uLVHvnau17W75FUfmuaYGcbC6173uuQ8Zi0uabpdX/va1ybCMc5f2uXc4NzC8QsT58zR7ixayh52nKizObaUR3CYIEK5L9ecF52fnQ0JUGuv/UbROCXQCw/vVb3Nu53q3VTbS93iGggEAv0jYD21Tx/iDFU9FJ0K7aq6WfiDToWRjgZEycJ6bQ4++OCDk/PI+973vopmtjDpQ/7tZ3rZZzW112iqHGvLMGexfs5QQBt23ldGU21XVrhAIBAIBAKB0UYgGOij/X5HqnUrrrhi8k3XQiSgkYbZ6fBebyimcZ1Yj2hHo7aeZib6maVEHMQY1XYbc8xH2jwIKQ7rNug0ABz8ERVtZDu1FSOCBCztcYzSxz/+8dVG3lUZJGRp8NJoaFcGzUX52sUhQvz617+uCH7XX399ZerSoQHhs/V9qQcpft/0RPBxANEeaeV1RYSgNX/CCSckbacxj0mSc0401p/+9Kenn/zkJ2NVwWCX3oEIMQMRhCagPCURIjOCkvKVWcLVB9EJMxvThsCCOISSTTfdtBLOYOIctvDDnEE48czllltO0iTOAQLzh/UADqNKmdqJES9ugw02SPozwhMil4NAVUCPPwhM2o8IDd/CiC7ZP/axjyXvc7PNNqtMhZXwXq7qrI9h9qt7wUEb4SLcAXDevHnjikPcJRBBA058idQf1ZNwgoMhjOGEsFfSYLjBRJ8u767Elav0MIQZ7FZeeeWEkIXoiNBmnvBeMAe1Ac4IhgiMpYy4tkMgwmYqAueee25lKaPf+m+88cZp9dVX7zdbT+nNt8agxK4E4PjbOdYrTj755EQAyFxqjsk5J1f3wsVL1y5/CTOfmHPMpbTCCIDlnJN1hSCNtc5cYY4vedpdhymHoJX5tl6utaZ1bi7xwzyrlOEKGxjBCmawy7l/DJUVbvogYF9jDbOn6qdWGDZ1BlZT5aiDNdd+g5+zv0aA5K87RGlr/W677VbtQ3zuh/Ch/Zu9u/W5nr6TP+ecttxyy4QxyPw0Bt+qq65a7Z3sS1hTwpA3zgiR5vwPoYHWMocdJ+pRnz/sWQiStj7H/bDPUgaXc072qT63ZG9kf27vQ+iSoONnPvOZimE5f/58ycPNEARYiaKhiHneT5W9dxagcv5HP2e2n3Uue3Nzv/JYvDLOnEUw1J1VmH6faC/c69ptncEIIthOiMOZ0BkHw3ju3Lmq0LMjGGIPr587IzjzcfzCxEnTrcCchxsnym+tNwGHds80BxDGW7BgQXJ1NnVuzTknV1bbCL2IN2bblVHCPFf7tFN7tZvjFyZOmpI+roFAINAsAk2doShKEKqzT3n2s5+d7HHQaZxH0FPQmpxP0O7QSLq1otd9ljKG32soJVXKIk2cI4Y51/R7hsp5uHl/Ucuba3spL66BQCAQCAQCo4lAMNBH872ObKtoljDfjTCukUytIcjR/nXQZb4QAQ2xURoS64h3Of+D0CDfTHSYv9tss01VdZtl2tmk8xFhECo5xDxhDuwY0VXiLj8558rUJ8Y884Fwc1UGoigiQafsDgZM6zI9iICHMIMY9LznPS8xN18c4gpin3KYxnJQ4a87daVhRTsboxrzHfEBM1Q65jh949G71nZhnMMKZqk6a3/dIRirkzSIDxgL9Xh+TA2M3Dlz5ihuzOWck3YQSCCwIK0rnAgyaLu+hWk+b968SvBgLPODHgcI/dP74WhYKDPnRX1RPFOHDlf6Lw3JnBfFPVjEhBe4ab9viqpjO6fevh84CHFV+czRq7tylI8oBxfh4lsr6TkOkN6h9HUn7POf/3yCGcKQ+3o8PzwIwZR311q+Z+orMJNW2xGwjHdpc170XSyaenD3DlqJYtKFGzEEZnFzaDEZC8ZPPw6hBKG2H+iKhobnWCM65V1rrbUqYSOEI2PUfae0wnPOCQHe2mMdU76re+E59zY3mh/MpbRbCybmAXPWRAQr9Shu0HJyzsm6aP7BYEA0w1zstpYO+qxS13LNuRkMS3lxXfwIGDf6kvHQj8PIqu+VmioHIvqzfTjrM4Qc2wn+WZ8JMWL+S2//RQvd3sAeSjn9umWWWSbZzxPSMzfAw9jWVqbUxfdSZs6DjxOffqAhZR/E6o/9bTeGZM6DP6u1LfaM9sXmFW3n4Gwv1a0OreXE/fRAwLgwhrzHfpzPQdWFY7Qm53+cWfRN5dmzE1Zx7iLA1m0NUkZx5gqaj53WbuctZ0wCxYRHnIXuueeeRFC5fsYp5fV6tYffd999E6az+nP8wsT1Ws6g44QgNiEdlskIG8Ch9WzYWgfnXOdAQhBlvwF31s6cV50VW/O0u9c+7dRe7eb4hYlrlyfCAoFAoBkEmjxDGa9ln2J/Yl7wLXNzgnBzRi+1tj5MtM+ql5NzM3uNnJspZ9BzTc79n6HSQiAGnfcXZh37z7mZto8VGJ5AIBAIBAKBkUMgGOgj90pHu0E550TLFIGAxDezjaTraZhhyn384x9PCAvipHnzm99cmRMfbVQWT+topyOiEGpAvKSJwOw7YiYiRHEODg4QtGeYPUeUWTw1jqcGAoFAIDA9ERjFWtGEI7zUK2NrlDBAeGf9w6dCWIeZjRiM0vuMtoxHAMNWv6YJnvNDhVue+cxnVlaBEI0xgWjEE2YcX8rMvNMOc5tPTGCgs2Q0M1sStQ4E2iOgf3dau2kIEnJ11nPuI1SC2dO+pJkVSsiAwDZLaQTKnVlnVguitoFAIDAqCEy0zxqVdrZrx2w6Q7Vrf4QFAoFAIBAITE8EgoE+Pd9L1GoCBEh1k+5GnCPtTVqb4xcmTpoJionoARGg7U/7gMS+ay/FrLjiiolWMcJEL+kjTSAQCAQCgcCMQCAq2QaBH//4x8mnLnbZZZe2VkraZImgQCAQmAEI/O///m9ippX1GwzFGVDlqGIgEAj0gIAzKisyrKv1Y7Wmh6IjSSAQCAQCgUCPCMQZqkegFm+yeHogEAgEArMKgWCgz6rXHY0NBIZHgIn1PffcMzFZx1x3ryaACThceeWViVbD8LWIEgKBQCAQCAQCgSYQaL6MH/zgB8knVw477LD01Kc+tfkHRImBQCCwWBAgqLvlllum9ddfP7HAtFgqEQ8NBAKBxhH4y1/+kt7//vdX5YbgWwVD/AQCgUAgMOUIxBlqyiGfpQ+MZgcCgUAg0B8CwUDvD69IHQjMegTuvPPOdPnll1c4+IYuE+3VTZcfJtyPPfbYFAz0LiBFVCAQCAQCgcCMR+CKK65I++yzTzrrrLMS09WT3qB4QCAQCEwJAnfffXfabrvtKuEYFpVyfqj5+impSDwkEAgEGkWAcPjuu++eVl555XTkkUcm5twbfUAUFggEAoFAIDAhAnGGmhCiSBAILEIgfgOBQGDKEQgG+pRDHg8MBGY2Ao997GPTc57znKoR1157bVpjjTXSAQccUGmkM31XRSz8+etf/1qFHX300Ymp929961vppJNOSv/yL/+yMDb+A4FAIBAIBAKB0UMA0/yCCy5Ivg89eq1rvkVRYiAwUxBYeuml0xlnnJHe9KY3xWcZZspLi3oGAj0gwJraUUcdVX1qLJjnPQAWSQKBQCAQmAQE4gw1CaBGkYHANEQgqhQIzEQEgoE+E99a1DkQWIwILLXUUulzn/tcetnLXlbVgkbORz7ykYpZsOSSS1ZExZxz+ud//ucq7KCDDkr77bdfOvHEE4N5XiEWP4FAIBAIBAKBQCAwAghEEwKBQCAQCAQCgUAgEAgEAoFAIBAIBAKBQGD0EYgWzlIEgoE+S198NDsQGAaBuXPnJhp2l112WaWJ8/jHP36sOJL7z372s9Nee+2Vfv7zn6ebbropbbHFFulhD3vYWJrwBAKBQCAQCAQCgUAgEAgsTgTi2YFAIBAIBAKBQCAQCAQCgUAgEAgEAoFAIDD6CEQLB0UgGOiDIhf5AoFZjgCG+Ate8IJ0yimnpN/+9rfp73//e+X+9re/pWuuuSbtv//+lel26WY5VNH8QCAQCAQCgUAgEAgEAoEmEYiyAoFAIBAIBAKBQCAQCAQCgUAgEAgEAoFAYPQRWIwtDAb6YgQ/Hh0IBAKBQCAQCAQCgUAgEAgEAoFAIDC7EIjWBgKBQCAQCAQCgUAgEAgEAoFAIBAIBAKBwPRGoAkG+vRuYdQuEAgEAoFAIBAIBAKBQCAQCAQCgUAgEAgEmkAgyggEAoFAIBAIBAKBQCAQCAQCgUAgEAgERh6BYKCn4d7xr3/96zR37tyO7r777hvuAZE7EAgEAoFAIBAIBAKBQCAQCAQCgUAgEAgEGkAgiggEAoFAIBAIBAKBQCAQCAQCgUAgEJjuCPzxj39Mj3/84zvyXvFlb7/99kltRjDQh4T3yU9+crrjjjs6ukc84hFDPmGC7A1F//nPf07rr79+5c4444x09NFHh5tCDG677bYKe+9Af2rotUYxgUAgEAgEAoFAIBAIBAKBQCAQCAQCo4JAtCMQCAQCgUAgEAgEpg0CV111VUXP/cEPfjBt6hQVCQQCgUBgVBB47GMfm+68886OvFd8tOWWW25SmxsM9EmFd+YU/shHPjJdcskllSPVseOOO6apcPGMRTgTtCj4k5yZOT0nahoIBAKBQCAQCAQCgUAgEAgEAoFAIBAITIxApAgEAoFAIBAIBEYJgbXXXruipT//+c8fpWZFWwKBQCAQCAQeRCAY6A8CEZdAYAAEIksgEAgEAoFAIBAIBAKBQCAQCAQCgUAgEAiMPgLRwkAgEAgEAoFAINsbdeoAABAASURBVBAIBAKBQCAQmEUIBAN9Fr3sbk29++670+qrr165e++9N6211lrhphADJvQL/kxPdHtXzcVFSYFAIBAIBAKBQCAQCAQCgUAgEAgEAoFAIDD6CEQLA4FAIBAIBJpG4Kabbqpo6QsWLGi66CgvEAgEAoFAYBogEAz0afASpkMVll566fRf//Vfldtkk03S1VdfHW4KMXjqU59aYe8dzJ07dzp0ielfh6hhIBAIBAKBQCAQCAQCgUAgEAgEAoFAIBAIjD4C0cJAIBAIBKYhAiuttFJFz503b940rF1UKRAIBAKBQGBYBIKBPiyCkT8QCAQCgQEQiCyBQCAQCAQCgUAgEAgEAoFAIBAIBAKBQCAw+ghECwOBQCAQCAQCgUAgEAgEZh4CwUCfee8sahwIBAKBwOJGIJ4fCAQCgUAgEAgEAoFAIBAIBAKBQCAQCAQCo49AtDAQCAQCgUAgEAgEAoFZiUAw0Gfla49GBwKBQCAwmxGItgcCgUAgEAgEAoFAIBAIBAKBQCAQCAQCgcDoIxAtDAQCgUAgEAgEAoFAYDAEgoE+GG6RKxAIBAKBQCAQWDwIxFMDgUAgEAgEAoFAIBAIBAKBQCAQCAQCgUBg9BGIFgYCgUAgEAgEAoHAYkMgGOiLDfp4cCAQCAQCgUAgMPsQiBYHAoFAIBAIBAKBQCAQCAQCgUAgEAgEAoHA6CMQLQwEAoFAIBAIBGYyAsFAn8lvL+oeCAQCgUAgEAgEAlOJQDwrEAgEAoFAIBAIBAKBQCAQCAQCgUAgEAgE+kTgL3/5Szr88MPTH/7whz5zLrbk8eBAIBAIBAKBWY5AMNBneQeI5k9/BM4999yUc27MPfWpT02333779G/4Yq7hCSeckFZZZZVGcD/ooIMaa81tt92WXvKSl6QnPvGJ6fTTT2+s3CgoEAgERgMBRImTTjoprbfeeunRj350NYfNmzcv7bbbbunmm28eupHnnHNOetjDHpbe/va3D11WtwJuvfXWvgkrTbX9/vvvT2eccUaF4ZJLLllhCMttt902XX/99d2q3XdcU8/6+9//ni699NK08cYbj713dX/1q1+dfvSjHyXxfVcuMkwrBLxD73LLLbdMT3jCE8b65Rvf+MZ00UUXJX2p1wrrx/rz4x73uKqcnHNad911q33F//t//6/XYnpKd/fdd6e999573J7KnHTwwQcncT0V0iaRvDfddFObmP6D/u///i+95z3vqbCw7+6/hIfm8L6aGpP2fjvuuGN68pOfXNUx55ye+cxnpq985SvJvPfQp0fITENAfz700EPT/Pnzk7k750Xv+JOf/GT6/e9/P3RzJmPtNudM1lo5yB7A+fajH/1omrdwz5NzrvYqz3rWsyZlnDTVdu99MubHFH+BQCDQNwLW7Sb2WaUce3Dnh5xzNR+98pWv7Hu/lgb4G2T+bPeYQcrR9ve9731je5WcH0rHfOQjH5n++Mc/JnvQds/tJ6yJ/ZE6N7Vf66fuU5c2nhQIBAKBQCAwLALBQB8Wwci/2BBoPSTnnKtNGMKija+N0GKr3CQ9eIkllkjPfe5z03bbbTfm3vKWt1SElvJIRIN6/Dve8Y602mqrlei49ojA1ltvnW688cZ0zTXXpMc//vHjcr3//e9Pp512WkeHYY4ANi5TQzef+9zn0ve+973029/+Nn3oQx9K//M//9NQyVFMIBAIzHQEfvzjH6c111wzbbXVVhXT9E9/+lPyd8stt6TDDjusYmCR+Ef4Fd6vQ6Qw7zzwwAP9Zu05PcbepptuWjGHbr65heHfpZSm2n7HHXckBC5MyfXWW68i8NhP/OxnP0u//OUv0+qrr54w/gbFsN6Epp7lPVvr119//fSoRz0qYSqqs33Sv/zLv1SCAJiDwWiroz+z/LR03vSmN1Xv8j/+4z/SnXfeWTXAu8fAetnLXpa22GKLCYVO9IEPfvCDVT8+/vjjq/5dFbTw58orr0ybb755eu1rX5v+93//d2HI8P8Y+yuvvHL69Kc/nQ455JCEUc3Zy3zqU59K4n7wgx/09SAMp0984hNp2WWXrfZhfWXukPib3/xm+sIXvtAhtv9g76WJMWkcY5KvtNJKCWPfuzb//u1vf0sf+MAHEiEIgg/2q/3XMnJMBwS8469//etp+eWXT7vvvnu69tprUxFi+c///M/08Y9/PK2wwgoJA1zaQeo8GWt3U+tXa3sG2QPA5eijj06ExK3V3/3ud5MwZ6U3vOEN1TixN7JPaH3eIPdNtX0y5sdB2hN5AoFAIFX7pyb2WfX92je+8Y1kPwBfa/eFF16Y7NcwmMs8L64pN8j82e7Zw5Rj3TrxxBPbFTsWNmfOnOScNRYwgMcc38T+yPtpYr82QBMiS68IRLpAIBAIBKYBAsFAnwYvIarQHwKI1kcccUR1SN5///3TRhttlP785z9XDmMTYRHR2wbYBra/0qdfaoRCtVpnnXUq4j3hAES+4hAl586dK0nlaCeXONcvf/nL6Re/+EU6//zz05yFm1VENwTUKnH8TIjAs5/97IqYXBKSmKV5adPfye2xxx7p6quvTl/60pcq6duSt4krIlopB2N/qaWWKrdxDQQCgVmMwBVXXJFe8YpXVOvEGmuskRADMKIxVAssiDc777xzouWG8FDCe7ki9GBa/dd//VcvyftOg1mOAYhBjVFgre+1kKbajmn41re+NX3nO99JO+ywQ8X0K/ituOKKlXYubAkRDIJhvT1NPct72WWXXRJm6Mtf/vL07//+75V2smcts8wy1TpEA+aYY46pGG7Siws3cxDQV4wNgns0z/nf9ra3VfvgeivOPPPMiokufT28+L17TFdCNPbLGE2/+c1vEkFBQoMlnf0iixUY3SVskKtxiXllL37yySen173udZUGFgsWr3rVq9Kpp55aEaw32WSTJO1Ez0DkJLxiz0tjU3smytNLPAEjjEvzYy/pJ0qjXk2NSe902223rQRjzj777EqAIuec/umf/qkSpD3qqKMSYjUMtWOiukX89EPAO7ZW33vvvWNC0hgs3nGprXOu8SNtCev1qj82vXabY5peKwfdA9jLEM5hoWGDDTZIGDfWa/hYAwkgENYhAGeP1MtcI28n11Tb1aPJ+bFTfSM8EAgEJkbAuLa3GnafVcq54IILEjrlDTfckOyzaDfbo5eafP7zn68Em8v9sNdB58/W5w5bjvkYLRb9ksUcgmHtnDOq817r8/u5tx4Ouz+yPja1X+un7pF2diEQrQ0EAoHRQGCJ0WhGtGK2IGBThmiNAGjDw+wPIt8///M/J+69731vKpsxG2AbYRvZmYwPrQGm/AgN0C4fpC0550qjbs8996zMZTKZNEg5szXP0572tL6bnnOuJGtZDOg7c5cMiOYYIXvttVfFzKFd2CV5RAUCgcAsQIB5V9oMPjuBWHPdddclwlNnnXVWpUmKoEz4p0CBmIzpUu57uWJqK7OXtP2kscYhfGNg3XPPPf1krdI21Xb7C0w5zHNEH4JQD3/4w6tnlB/MS+Zh3X/4wx9O3/72t3n7dk0+yzv54he/WFmi2XfffSvz7fUK2RtZL+wjpJO+Ht+HP5IuBgT0FYKStLQRCxFiEScJSixYsKBins6fP3+sZvqvT9CMBdQ8NJhZsKHhak/JBPhyyy2XCAoq75RTTkksHcnyta99Lf33f/8370CO5icC6V133VUx9TF4WwvacMMNqzhppJWnNY17Qp+0S1//+tcnc1vOWXAjzlkCkXuYtrZWxBgz1oy5YcakOZogD8a+c89aa63V+qj05je/OT3vec+r3pU1AFYPSRQB0xYBlgMIs2y22WbV57WKkLS1xfnVWl3GpH5g/enX8lTTa7c5qcm1ctg9AEa0ceYlGwPMJfMXl3NO7373u6txMtFcU/J0ujbVdnOdOU990CqGmR871TXCA4FAoDcEjOum9lkY45RVaHDbe6Mh2We9+MUvTuedd1464IADxipFe/p3v/vd2P0gnmHnz/LMpsqxLz3uuOOqdiqTCfh2Dj239YxV6tLLtan9UVP7tV7qHGkCgRmKQFQ7EAgEHkQgGOgPAhGXmYEA4h+idant3Llzx5nXfuITn5jq0p0IiUxVIpCVPDPxishYJ5AO2gZmOZ/0pCcNmj3y9YkA5jbMf/3rX/eZs3NyzJDtt9++kmp+ylOe0jlhxAQCgcCsQeBb3/pWZYqZ4BhiTb3htD196oOp0MJER7Q9/fTT68m6+mk20mDbddddUymja4Y+IlnR+MxnPlN9c/ykk05KrK30kT011XbEGExEz8bMmDdvHu9DnPWYoB5mBgLQIAyrpp6FkUKbWCXVq9M+Qbh46aSXj392uZnZ2gULmeTGxbHHHjumwV1vyTOe8Yx08cUXJ8TZEv7Vr361Epwp966YcQiF+vjTn/50QeNczrmytlP20LTGPXtcoj5uaJfr5znnxGpPO0KpMHE550oQQJ52jzDWaLvS6EJwZkWjXbpBwjAXMS19+miQ/K15jC1jTLgxZ+zxtzrh4oVLLx9/cQj6zNwjrrMexeJRiatf7TNhI4yp2EsuuYQ33AxBwFgl+GZ8E9CqV9t+n+Cz8Z/zIqERFmCYJ6+n6+afjLXbuDaPeG4Ta+UwewBWMuwfaOijCRAKUq9WZ5zQVBSu/hg8/P06eZtou7lOWTkPPz/224ZIHwgEAuMRsNcxz5qHWfpwbqqn6HWfRXsb7ZEQo/moXga/cgnOOEO4/9WvfpWGpRENM3+qQ3FNlWNus3Y5d5aym742tT+y77L/Uj/7Mfsy/lYnXLxw6eXjDxcIBAIzAYGoYyDQHALBQG8OyyhpkhFApKaBgpBWHtXOhDXzqiXe1UH3hz/8Ie+Mdcyy24wO2wAM19VWW23YYiJ/HwjQKqDd1UeWSBoIBAKBQM8I/PWvf61MlrLG0onpqzDWMAoB2T1NTsRn/m6OANo+++xTaW/RAO2WdpA43zEupmpdi8n0Xspqsu1MTBMs8NyXvvSlHT+/gcnxnOc8R7LkW4aXXXZZ5e/np6ln0VLEUPHsbvsE+wfx0knPMgF/uOmPgD6GePva1762Y2Uxh2g65byIyYZpxjJDPYNP+TDlbx6oh9f99X5SD+/Xz8qRvbd8hDY7MbXEi5OGvzCM+evOnLD00kuPBdX9Y4EDeBDNmXfmVl555QFKeGiWpsYkQvwZZ5xRPQBGT33qUyt/ux8a6N4dovKRRx6ZzIvt0kXY9EKAcAQBjo997GPJGO5UO4K4TI+XeJ9eKP5u18lau5tav0rdh9kDsBxhjlQWQQR0Af52jnBeEQAkiAP/dum6hTXR9qbnx271jbhAIBCYGAFzSBP7LJ/DYQWj23pdP0NMXLOJUwwzf9ZLb6IcjOXjjz8+vetd70rMttfLb9Lf1P6oqf1ak22LsgKBQCAQGIdA3EwrBIKBPq1eR1SmGwI2pb1I3RdCXCmLGSUSpQhLJWwmXRFOaOg0UefHPOZV9DvlAAAQAElEQVQxiRbhiiuu2ERxUUYPCJBafec739lDykgSCAQCgUD/CDDpjGFCa6Jb7pxzqhPhEY/l65ZHHLPRP/7xj9NHPvKRyky4sOnimmo7LApT2TrZjZmWc05rr712BYF9BQZIddPjT1PP8u5ozJTHtjPvXOJc6/HqLL/wcNMXAQIuF198cfKJAwzSbjVdc8010worrFAl8e1JTJrq5sGf9dZbL73nPe958K7zhYaUWNpTgwpcXnXVVYlTDk2rxz72sYm/nRMnjThMfnt9/sl2mIv77rtveuELX1hp3jfxPGOqqTHJssYdd9xRVct7MC9VN21+vHcmYkURGEZc5g83vREgzETo7UUvelHXihr7RftNQmZxXSdyk7F2N7V+TVT3XuOvvvrqxFqG9CuttFLqNk4IkZvXpB1krmmq7eZGTj3MfeZA/nZOnDTiBqmzfOECgUCgMwJN7rOcw9DtOj8tVcK5rO+khX/Wduv3Qu9I/Pv0j3WN5RSf0mA5h2U0FpCabGAT+6Mm92tNti3KCgQCgUBglBAYtbYEA33U3ugIt+enP/1pwgyfqIkY6EXCvKTFeEdoL/cz6crU5pOf/OTGqkxz7nGPe1xj5UVBgUAgEAgEAosPgTlz5qSDDjoo+YTJRLWwlpT1kVZnIeJ0yuf7rDRbMZq6aVR0yj/Z4U21HcHnhhtuqKpLg60Q2auANj/W5RLs29StzMoS1+7a1LPsaTAPPAPTwN6Hv5MTL514+eTnDze9EWCufP3115+wkjRYMeMkZIqzjHP3vTqEZMIy0r/pTW9Kgwpb2nMTLlGOOplr+Ns5cdKIk0de/sl2viOP2UwwiOWLCZ7XU7QxZWxJbKwZc/ydnHjpxMsnP7/3gEDMz9GMc+3kEKrLu8JMVFantBE+fRDwzvbff/+EQT5Rrep9wFifKP1krd1NrV8T1b/X+J///Oe9Jk3mmqIVaa4pTOxeC2iq7eY4z/dcc5968bdz4qQRJ4+8/OECgUCgOQSmcp/lvFDmLQoWhGSaa8niKwmTnPZ5qcGf/vSn6tNcW2yxRXJWe9WrXpVKu0uaQa5N7Y/st8peyT7MfqxbfcRLJ4188vOHCwQCgUAgEBhZBB7SsGCgPwSSCJiuCPhW2KB1832h0MiYGL3rr78+MfGLGJdzrqRkmY70PaP777+/YwFMNh188MGJed977703Mbd/yCGHJARc2kzME9rwthZgc+37fzSjPFNaBKUddtghqUtr+vo9DSvf83zBC16QMDMIBXAbb7xxuvTSSxNCQz39VPq11aGoG3EGnr5XSfNEu3POlXYnE6sTHTAKbiSdYd+pbeL6eS8wU2f4+xQCoo13+LSnPS3tvffeCeadnhXhgUAgsHgQMO8RjOr36bSsMdo65aOhiXn+spe9rDENzU7PGjS8qbbbX5i31QOBHdGav5NjgtHcKP6mm25KRVPU/USuqWd5rjne8xDg1Im/kxMvnXj55OcPN30RIOBSzHP3U0sCIARB+skj7bXXXpvOO++8RGuI0EzOWXBfjlZPXYvc/mGiAupp5FXGRHmGicdctKfZb7/9UpOCQcaUsaVuxpoxx9/JiZdOvHzy8/uUBG1Tfq6Oj/tWZ74iHFXCfdO9+Bdd43c6IuCdOb/0Wzf78255JnPtbmr96lb/fuJ61cZXZus4meisJU/dNdF2c5s5rpQ70diWrp5GXmUIDxcIBALDIzDV+yxCMBiwPruFVjR8C6ZHCZdffnnqtvc4//zzk7XrQx/6ULJGDVrrpvZH9lv2XephH2Y/xt/JiZdOvHzy84cLBAKBQCAQmD0ILDGjmhqVndUIkGwcFACEcRKfg+Yf9Xw2sgiJTLySriRBirG97rrrJgQDmkhbbrllqr8DfmnkQay1Iab5ct9996UPfOADaY899qgY6Q888EA6+uijk+/UFRwxar/+9a8n0pxHHHFEOvTQQ5P3gyiw3XbbpWOOOSYxWadO6lbyletFF12UMH98YxNzH6HRs5Vp805bCwPfc0qeqbza3HcTAMBseeUrX5ne+973JpK5NKFgQAsFU50p1s9+9rOpXn84XHbZZYkEL2GDrbfeOjmAwbfetkHfC6b8O97xjkSYwXtn8cH3QX1HFZ5M//t+oG+r1p8X/kAgEJg5CJCY//Of/1wJR22yySZdK05Ayfzv+8BNaWh2feAkR3Zru3aWxyOyI6iV+3ZXzPMifGDtIqTXLl27sKae9ctf/nJsjbAmTPSOxEunTtYW+fnDjQYC99xzTyqCosw9L7PMMn01zL5k9913r/Ylvg/ci5ZruwcQorR3KHE0j4q/07WeRl5ldEo7bDgBz1122aX6nMWmm246bHHj8htTxpZAY82Y4+/kxEsnXj75+e+8887kffDnnHvSUK6/L+XYT8s/Ei4aMaa5Z6z47EA3SCZz7W5q/epW/0HjmFjv1u9zzqm+tlu3nX16fV4TbTe3mePKM73P4u90raeRVxmd0kZ4IBAITB4Cw+6z0KsIJ/7bv/1bZTnMHmDyaju1JaNP2cc4E6HFoQOi87XWgmLHTjvtNDATvan9kX2S+qqffdhE70K8dNLLJz9/uEAgEAgEAoHZg0Aw0KfwXcejhkOgThwqJf3qV79KvR5++5U0L88Y9atNoI38YYcdli6++OKEoU37aKuttkqXXHJJohENg9NPP73SQpbePU1lhIi6lhNm7uGHH56WWGKJhClMk09ajOHCbJD/qKOOSgiXGPOYwohBNqbc29/+9jGNIJrrZ5xxhiLGHM2ht771rQmhhMkt37QrkbTRMe/dy8s8J/9Uu+985ztjxK7WZ2Nwq79wTGqHCHjvuuuuifTusssum+CoHd/+9rclqxyCNoEBzPkqoMPPIO/FOznwwAMTwQkMdEx9WvEe4d0xcUpThhCE71oRSBEXLhAIBGYWAmVOfO5zn5ue//znd6w8QvEBBxyQPvWpT6X6HNsxwwyI6NR28x9BodIEc3BZr0pY6xVBu05I6dU6R5PPqtfZOjxRncVLV9pSz1/C4jpzEUDMIySy5JJLJvu3nHvTHtcnjQ3WcOwBCSL6LIHwQdDAwLLPKXnbEVBLXLnW08irjBLX9NU+iuaQfY09bJPl18eUsWbMdStfvHQlTcmPQYbRL9werGg9ue/k7NFKnPmI0GW5j+viRWDYp9tzl08rsLJFwLhTmZO5dpsTSh/1/MlcK5Xfi1tttdXGki1YsCAZO2MBE3jgqk0TJKuipWui7eY2c1xV6MKf+ty38Lbtfz2NvMpomzACA4FAYFIRGHSfxergWWedVSkpoP2cfPLJE1panNSGTGLhzkfOmD4txkIIy0Yvf/nLxz3x85//fEUnHBfY4405von9UX0+tw+zH+tWBfHSlTT1/CUsroFAIBAIBAKjjUAw0Ef7/TbZusVeFrM/rZWgSdfKQMd8dNBtTRv37RHApP3whz+cMHJteOupEO523HHHSltROMIj4gz/S1/60rTlllsm2omFCPn9738//fa3v01HHnlkpVl93XXXpU9/+tPVN5CYA5dPGmarmC2kYY5pLry4Jz7xieMYO8yJljhXzOnbb7+dN5FCrTy1n7XXXru6+9vf/pYQgaubBn+UCzMCBa3uxBNPTJtvvnmFC0381sfql8yGfu9730uf/OQnU6tQiG8cEiqQTz+mlV4OCcx8feELX0jHHntsYrZYmnZukPfiEHDmmWdWxdHkb627A8Mqq6xSxV9xxRVJ+uomfgKBQGDGIEAr4MILL6zq+773ve8h808VsfAHcYKG5r/+67+mibTUFyafEf/d2m4PQRNtmIYQLuolf5PP6mblpJe6DJu/l2dEmqlDwF4JQ4hwImsxEz0Zg5UAI8FDwjQIw/L4zq/PNrCQI42wfhzTlsZbP3nqaeVVRj2sKf9PfvKTtO+++06aYNCwY6rkp31e9n6DtP3WW2/ti5E4yDMiz9Qh4H0aq4RjjMty5mqtwSSt3WOPaXL9Git0SI/PjJUibrjhhmT+KvdNXptqu7nNHDdo3eRVxqD5I18gEAgMjkC/+yzCLugr5imf3SPc5umEFtE10XnQhoSNoss5p2c961npggsuSGeffXb1acfSzv333z8NMpc1tT8q+61Sn36vw+bv93mRPhAIBAKBQGDxIxAM9MX/DqIGPSJAS5lUYz25jRdNknpY+41VSq1563lmqx+BzuadxvhGG23UFgbmxFdYYYUqjvYzE+PVzYM/mOyIOm5JyTPlXpjiSy+9dMIsf97znlcx4T3PhhkTeocddki+JyRf3SEMvfnNb6602IXbeLsWV2c61/0lvn6ljVC/b8KPQE0LG6O81dEsx1Tv9BzCB4QQtKmdBknOuTIrWvJjtLdaTtCPi+ZjSdfu2s978b6Y7leOq3v+dk4fwGRvFxdhgUAgMH0R8N09FipoAmy22WYdK+oTGhjKk6Gh2fGhkxzRa9snuRpRfCAwKQiwxuRzNvYHBCK7reGlAgQM7Ufs8TDdW/PQEGKdaFSIu5iL9qfmvlERDCrvMq6jjcBpp52WnG19ZomwS6fWjuLa3amtJdz8VawvOJ+dcsopY582WZSm8698PtnSOUXEBAKBQCCwCIFB9lm0zs8///z04he/OPm0DnrbotIW/TJzjsG+6G50f3PO6bWvfW1iTbFgQNiJqffRbXW0LBAIBAKBQGDUEAgG+qi90RFuD4bjxhtvPK6FCHs2p64lopPGTGECl3Qz6jpJlcWcxaTF+F555ZXbPgVBtmgfS8CMICIFf6uTjrZya3i5v+aaaxJGBuYupnoJb73aZGN+M3PFtHk9/g1veEOiic3x1+Na/UzdtYYNe//IRz4yXXnllRWBRr+rO7iocycCF+EDDGia5p1Mcj71qU9NmNjqycKCAwb/MG6i90IQwaHmgx/8YHW4cd/peaSp1atTfIQHAoHA9EMA88jnOYxtZvU6CeGwMMFqyGc+85mRMd3ea9un31uLGgUCvSFw0kknJZ+3+ehHP5rWWmutnjK95CUvGdtL2UfbL/lkQyFuKsScsWDBAt4Z7ezTjj766ErbiQY6Qc0Z3aCo/KxBANPmS1/6UnIG7ibUNoprdy8vmXWzbbfddizpcccdl2AxFlDz+EzWOeecMxayzDLLVMLdYwHT0RN1CgQCgWmBwCD7rC233HJsn3XRRRclFiTe8573jLWHtcFDDjkk2X+NBY6w5/Wvf32qt5+lyhFubjQtEAgEAoFAYMQQCAb6iL3QUW4OgpfvND/taU8b18zPfe5zlVlr3xfiHJDHJVh4gyGJSbzQG/81BDCCMUOZB4RPzrkiJuT8jytGC7PpJRutf5rk5b6Xa0lz6aWXJtrnmOxPecpTSnDb6/LLL59oFuScx8XTktpuu+0Sx18imdc7/vjjE9PDJWyqrw972MOqOmPuz507d9zjMZ61XyBmdc75IVjnnNP8+fPTPffcI1nlbrnlluo62T+rrrpqOvjgg5NreRaiMyELv7x6DQAAEABJREFUZvwJWpTwuAYCgcDMQoBmGhOwCPGdGGwIOHvttVfyGYlOFklmVqsX1XaitlvjCC4tSj3Yb+u+pFMpTT6LIFan5/QSXv92bC/pI830RIBZcntjeyKf4hm0lgQbWdehyV6Y6CxRtNtTd3uGvaRvI3dL0y2OcKFP+XRL028cwU/a9ISD2lk+6re8TumbGpMwJKzZ6TkThRMYNtdMlC7ipzcChHIPOOCA9Lvf/S6xFtHp3DRVa7c+NVVrZa9vJuecdt999+SzE/I40/qU1Ve/+tVEoN455je/+U0iIMz6hDOodFw3QW7xdddU243t6TY/1tvZtD/KCwRGAYGm9lksMx511FGJIHPBhWWwn/3sZ+V2pK8550TgqexvBjGDbg4t+QcBq+yPmtqvDVKHyBMIBAKBQCAwMxEIBvrMfG+zttYO7iQ4mUIqIJDefNe73pUw2DkmyUtcudokzZs3r9zG9UEEEBV5119//Yppi9AwkcNIJZAgX78OM7bfPBOlv/nmm5PvgxdCiG+Ld8qDmEIAwDfUOznf94ZBrYy+vfrp05/+9HH5ELiKNjlit2f04jC0xhU0BTdwYgaRAIND3nvf+97kEwpT8Oh4RCAQCDSMAG0sn87gSP+3K95chNF85513JnNOzrldshkX1kvbNarOmCCMhXEhvJMjRFYI8TnnhCjWKW1reFPPai3HvN36rPq9eG0rYbTvij+uMxMB+wqMobXXXjvRYqoLFQ7aIubcEThL/n73bUsttdS4z/OUb36W8tpd62lYyVBGu3SDhMHInDYVgkFNjUlCBGVOMc+YbyZqex1DeZvoCxM9M+InFwHfjCVwS/Dtuc99btuHTfXa3drHJ3OtbNvgNoHmjDPOOKMS/hONib711lsnnxcjDMRUO2Fk2ucEuKV53OMel57znOfw9uyaaLu5rS7EUx+3nSpST6OtyuiUNsIbRSAKCwQq7fAm91k554SugvYGXnOo+Yl/Njg0smFosk3tj1rnc2ekbviLjzNUN4QiLhAIBAKB0UcgGOij/45HroU2PJdcckkitfjxj3+80kSmeWNze+6556Z2WlVMvzt0jhwYQzQI0aUQ5TBNaEgPUdyEWZnRbfKAcNtttyXMoA033DAxkXXttdf+f/bOA26K4vzjz5h/DInRoEaDUeNr70piAQuKvSv2XrBiR2yxiyV2ErBrVKLYQCN2saLGghorakRRVBI1JkpsiSbqn+/gHPsuu3e7d3vve3fvjw/z7uz0+e3tzDNPW9tjjz0MK4G0weBefaGFFjK0V9MCbuGjBHJaW+XSUTDYaaedLCqggPD+8ssvfTWsunykwf7gweH666/3zG+s5XnPsHpZeumlDSZUgw1XwxECQqACAu+//74NHDjQsEzFO4dzyYLxZ5991nDfvOmmmxrv/k033WRJ4f777/deROgW5aVomUZb17LOnbmgZMeVgLVfpf0QN4yBqQ0zBwY9dbOEovqCCYXSIH3+/e9/t0pjJp9ylHfOWdpnW8hXaHwEoCmwqEbAirVlUTQuvyloKa6gAK3FNWuA/uG3GcpnqR8t09bWVpaOC+1mvV5yySWGEsAyyyxjCNmia1Y0Dn0Y2vzTn/5UWv/uvvtuC7RyyE+7Mu+AG+8a71xaWdLJpxxx56a/k6wpnHVIh7nOekO8XIhiyLstIVs5tBo/7+WXX7ZjjjnGsFbkrJM24o7eu4vav9LmU2066x+Kv3hUGz58uHcTfPDBBxseNaAFuPI5inAOXWmllYy1Jk9/Rcy90dbHPPNv4LIamhCoCwL1orPgVcG7DIOO7t8hrVWv0CZBkSnQOXnmWhR9VBS9lmfsKisEhIAQEALNjYAE6M39/Lrs6J1z3tX04MGDS98Wwv00jKsJEya0wwVXadtuu227NN2YIcydMmWKhwLmAkJ0f9MBfxBQ4FKvmq4Q/I8aNcoQhNPOk08+aeutt57hPr2a9upVBwF6lDmDW/bAhJ04cWKCsKNeI8nW7kcffWQbb7yx7bLLLoarU5h2UQWAbK2olBAQAo2CAJaXvM8Ijo477jgrZ5HIesx+gLtY9su0gItnBDrMEW8k0XIw8klvhJBn7ox3iSWWsOASkL0QwRbpaQGBVljP2Yvin+xIq0d6UX0tuOCCFgT3KKjx/Gg/LZBPOfJxkc24iSs0HwLQQezTCICvueYay/P7yzJbaBd+I5TNy+CEDkc4RV1CFsWaaBk+Y9OtWzeqFhIQnuNxCGZ1dL2Kx/m+aeiQ80TIHzBggPHuhLxy16Leye7duxvrduiL9TnEk66sV9DDIS94ZAr3ujYXAgh5t9lmG8O72u677+4/95Q2A34b/D47au8uav9Km0+t6Xz+C8wuuugiGzZsmPEes5axXw+fKlgP7aMkxGcrwn2WaxFzb7T1Mcu8VabeCKj9RkSg3nQWn8wLa1BeOqsR8apmTLhTz1uvKPqoKHot7/hVXggIASEgBJoXAQnQm/fZaeQxBGDqYy0LwRvNgvkV1RqP5nXlOAxKlAvAAOEpFtzE6xWi/eFeL7gzz9sfXgawOEcYBAM5D+MYN6dYl/MbSQtjx44t1PopzA+CH41j7sEahi7xRggIVcD03nvv9d+mQujmXLKlaup4lSEEhEDDIIDVBF5ZEIQNHTq0rPC8YQZd0ECqmTvC5EAnZFEoQwmKPYQhr7LKKoZFBPEsoai+EAqsuOKKvksE+lEhpE+M/SGfciTjuhYvLMQVmg+BP/7xj3bttdca9BBWNEXPAIVEAu2G94J41sAnXxAUUZ53BQEv8aRAHmXIc84ZXoWIN2Mo6p10ztm6665bggBr5NJNQgQaDutasqpxTU09hcZAAOUvBOe77babHX744WWF550x4qL2r44eO14l7rvvPt8trpPxtuNvcvwpau5ddX3MAbWKNhMCLTrWetNZePZzzhm0Uj3ouEZ9LCh8vfHGG15pOZxh8ozVuWLoo6LotTxjV1khIASEgBBobgQkQG/u56fRRxB4+umnDWI3kmTrrLOOHXHEEQ3HgIiOsTPjUXf3aOajoV9pPLjAxDq5Url4PgeEaH9YTWXp76GHHrLAXIVJOGTIEPvmm2/8t+vQ3o3306j3CM+Dpi2CjDvvvLPiUBEEHXXUUYbAvWLhGgo8+OCDFhhLWKHzrGporimratBCoFUQYN3AZTsu1s877zwLFg5J80MIjAvozTbbzIhXCs8884xnetAWDP5oedogvTNDNXNnvAjAN9lkE6KGQlkQRvmEhD/QGySzVm633XZEM4ei+qJvrBTpmOcQdUFNWjyQTznS8ZCCUhtxheZCADr30EMPtcsvv9wWWWSRsoPn3Q7PvGzBWCYMTuitaoWxyy67rKGwSLMoSyIUJJ4UyKMMedQhEC8qBMVacCgXzjzzzFKXt912W2k9fPvtt22eeeYp5ZWLFPlOrrrqqiUPE1jRo/yZ1jc05bvvvuuzUUBYdNFFfVx/mgsB3gWUWbGM4+walFiSZsEnl9jv2HfL/a5DXlF7d1H7V9Kc6pX2z3/+0/DCw9kRTzNnnXVWVYrSRc29kdbHemGudoVAsyCQNM6OoLNQaIUPBi8L7xZJ42jFtPHjxxueU9Zee22rRkETTIqgj4qk1xiTghAQAkJACLQ+AhKgt/4z7hIzhNF30kknlb7NyqTRFD///PON76JxrzAjAiuvvHJJuQDrY5iGM5aanvLUU08Z39zcfPPNpyfmiPXp06fU35gxY/z3KMtVpz+YxMFSDgbhSy+95KvAWHKueayk+e7dL3/5Sz92/mA9X05IA9OLMlOmTDG+QU6degW+axzaxrI/xHVtGgQ0UCHgEQjrxuuvv2433nhjxf2Pdx8Bk6/c5H9qnTvCaDyFAAPWalyTAq6Sn3jiCZ+Fkl41Ar+i+kJYFhhvjz/+uOGJxw8s9gcr3wceeMCnUj5q3eoT9acpEIAm4jMKI0eONOi3coP++9//bpTl2Zcrl5Q3btw4r0iy66672hJLLJFUpGwadDeebCj0zjvvGOsR8aQATYeyD3m4XkZIRbxZQ1HvJN5D+vXr52HAAv2DDz7w8aQ/fMqIzwQ557zbbxjDSeWU1rgIIAzHawyf5cjiNWb48OGG8mtnzKio/asjxg6uxxxzjAWlN3gFldbOcuMqYu5deX0sh63yhEAjINARdBbnFQwXuB588MEWPEJWMf+GqQK/ilBuQCgMYITDGnjCCSeUVfAu105R9FFR9Fq5sSpPCAgBISAEWgeBmVpnKppJV0UA4pNvnUGIBgz4BhqW0ksuuWRI0jUBgd69e9saa6zhc8ARZunVV19txH3id3+4B9+tttrKW/SD73dZuS64uo0yLvbcc08bNWrUDP3R6Kuvvmp8s3L//fcvEdi4fg/MYKyy4wJoxsnBh/qNGGAOY/3A2N58803baKONjHlyHw0cME499VSDQYbVRL2ZoVi9hP5RbADHcM8Vl8YTJkwgqiAE6oCAmiwCAd5bPHSwblxxxRWG9Wi5dll7fvOb37RzFVyufJ48xvLII48YlvBcuc9TP29Z2q917igqsUbTN9YnaQIrLPnADveLuNiNW/izXrJuH3DAAZY296L6wgUh1siMGQF5sOTlPhpwl4iAnTTKU4+4QvMgwO8OGuyMM84wrG/KjRxrZYRx0Fvh94nFKoohtINQKa0+gncUJRGcYwXr3IyKipMnT/YWnZdddplBryS1hWcGfucoddxwww2JdB7v7ejRo30eZamT1FYjpUELsa4RsAyPj413i3eM9FreSeecQf/CWGdNueuuu2hyhgD+t9xyi0/Hiwbuqf2N/jQNAryP/J5QJKnkNYZJofjGHsUZjvsiA+8k+xbj4cp9vH3e1SL2yni7Rd+z5rGWoYhN2+zXhx12WEmRm7Ro4D3rqL2btQ4cW219jOKpuBBoNgSgj2qhs9iP4ZdxRmD9SZs/tMOVV15p6623ngVlw3jZLHRWvE5n3XPmRPmRAK+P+cXHwl6CYRP4UB761CxeyizLOuxcMfRRUfTajLNQihAQAkJACLQiAhKg1/hUsYhl800LQdhXYzeqnoIAxOmwYcMM7fJQBMINRnHPnj1DUktf0fbEAj9MEuu4rL873IqfffbZFqzuYOLAFMH9I0yEm266ydDW53upG2ywgReGcLAIfcWvPA8I5Hh6uEfj9NhjjzUED6TRH0wE2uZbnhwWcO0E4wZr7Z133tlWX311ivrAN6La2tp8nHkjoIDhxHwfffRRw8L97rvvLjFHOMDgug/rJ8r7ilX8wT1mqMbhCLdb4T7PFRzBM9RB2IH7qr59+xpKIHzTdL/99jPmifU5gjDioTxXMCbE49ynBcqXey5RZvzFF19sv//97+3LL7/0LrZOO+00w0VkEOKjxACuPDswp+20fpUuBLoEAg0ySRjqfPIB5gNrIZ+MSAt49WDtYT0lFD0FLCJhDMEsQcMfhn+WPlhXEP5lKRstU8TcnXNeQQzBIWszzDQ4GogAABAASURBVK34uomyEUoHpCPIjFtysz+g+EUZ1lLmztiiYyXuXO190Q4B5htYs8chfAFD0kPgnnTyGdtee+0VsnRtEgRwI47bfYTbCIDS3uuQDhPz4Ycf9jRRmCJehlgXVlppJe/6HVqJ33HI58rnCxDaInSHyTnffPOR3C7wDmCFyW8cegX6O94OFeaee26jDPTeVVddZUnKjaSRBw3K+0Yd6lYKn3zySaUidckHf2hg1jXCaqutljivot5JBGx4EWAy0IRxpVHS8RzFs4Vuv+CCC0oKp+QpND4CvDs820svvdR/rgn33uE9TrryjrDeo/zMmaroGWbZu50rbv+Kj5/9qhoaIN4OezFKRJw5ycNtOyHNyxbl2R9Zszpi7+Y50lc91kfmqyAEhEA+BIqgs1g71l9/fe+anO97P/fcczMMYtKkSbbHHntY3759vREJvLh4oax0VrxeUetn3nYYbxgLewg8WD6Lw1rOHocS79Zbb+0/PYShBnRUKB+9Zl2HqVMUfVQTvcZAFISAEBACQqBDEEDpFB5HmuwVpXM+EVLPwUiAXiO6WOJipZQW9I3JGgEuUx0GGhbMAwcONL5rxqGYwzEWH0lMvzJNNW0Wwkss7WF6hkmMHTvW/vznP4fbilc0QGmDBScUnjhxomd8brvttnbKKacY7iN/97vfGdr7zk23RoIoxqIJoSp1YYY+//zzRFMDwliE9tECMGpxC8/7BPMIxiQELW6tnJveH2PkmYe6CHBx1Q+zd9NNNzUYjbg2RThEGVz2UQerHFy+k5Y3TJp60LnzzjtL1ZjziBEjUq2uSgUTIs45g/mNdXk0G0b3gQce6LWQseiabbbZDIYozyZajvhjjz3mBdvE2SBQOCAeDYwxz3MBnyW+c9PKu7TvvvsaaxeuJPluLn1GccdTwcwzz2y4Ma4W1+h4FRcCQqA2BFjDUUbi/UXBB+W+cuG9997zikbbb7+9OTd9ja1tFNNrszZ89dVXPoExPfvssz5e6Q/MJtYcyrGvoKxDvFwocu7QDuxHKOLBeGf/gwFE/yhrwQBi30FRgbXcufbYQZdELS+Y+znnnGNR5hJtEWrtizYIMN/w5MKzxB3/3nvvbSiOkceVe9LJZyzQSuQpNAcCMHURmKEICFOz3Hsd8igHTRRoIWYKnYSwhjhu1TfeeGOD3kJ5D2VJaOnlllvOsGrF8pTfJ2XjAZoo+huH5gvvSLwsdN0dd9xhKOAxnnvuucegWwnESSPvuuuuq+iSPrT94Ycfevoo3EPvMt9wX88r6ybYhT5QSkH4yYE+pHEt8p0cNGiQ4fKUZ4vXIvCGxmPOWHFBj0EHQ/vGFS4Zi0LjIsBzZE0++uijvRcGfts853KBMiicQLfXY2ZZ927Wh1r2yrSxV0MDRNsCU2gIFIN5NxdeeGHjXMyeXe680hl7dz3WxygWigsBIZANgaLorKhSE3s1hhMo0rJX44kHIxWUn9jXuY+Wj440D50VrVfr+hnaytsOirkoeYb60CcoV0ILQXduuOGGxidpWJvLecnJsw7TFzjWSh8xxq56hgJDBSEgBIRAsyAAzwA+Z5rsFUNShOv1nI8E6PVEV23XBQFeGKxie/ToYbgbhynIwRjGFlfu69JxAzUKUY7lG4Q33xCKDg2hA1bbCD/79+9vEOHR/KT42muvbVjcoYCwyCKLeAvxWWaZxZZffnnD/R3YYhUeZT7AdIWBAtM1tInApG/fvkZ7MIWwDA954eqcMwhe3FFiXRHSwxXmPgJ2tHiTniX98W1fNE8hymGOMG4YTjBjF1xwQe9aFAYTc0B4ADN41llnDV1kusLQhZlM+7hbj1ZCGDHXXHN518dYcUXzKsWZH9b9KCWggUw7zjnjiiU+1kQIjbASC22BI3iCKwcUGETkcYWJRjqHM9KqeS48RxhhYAVmBNpFixiscQVNHs8WzMEehjvWHfSpIASEQOchAKOD9xNhbZ5RoKCDoDhPnaxl11prLWMNpjxXLDKIJwX2M5R2WMcQFLKPhHIIh1gLyQ9rXMjj+txzz1nRc2c9REjOGsc+hUKTc84LG1HIYu1mz2EtZwzRgFUZTKJoGvsn+3I0LcRr6Su0wRVa4PrrrzcEBdBI88wzj1eQ4Mo96eRTjvIKzYEA3oWwikR4nmfEKLjhwce56QoeMC3xzoQiBb8L2kMJDy9O7P8I1FESYV9Por0oT4AmQshOnIBSJAxI4kkBoS/0GR6DBgwY4IXpHICJk0YeZZLqhjQE1ShIMvbFFlvMcLMa8mB8trW1GYxpylA25BV9pW/WqGi7vN/QaNE04rxrvHO8e7yDYO6cM67ck04+5SifFpxzBk7QoayR0InQYTxjBIQot7700kvWs2fPtCaU3qAI4HkLIUPe4W04VRgRlF7z1q1UPs/eXdT+VQsNEObDO3jrrbdar169/Nn1008/Nc5qvBusfaFc2rWz9m7WPtZA3nHWRNZGAnHSyKNM2riVLgSEQG0IFElnwddBaZB9Gr6Oc84boWAYgpEJ7zR01o477mhRnlp8BnnorCLWT/qvpR3oGLwosu6OGzfOW9bzaRk+eUMaFui77bZbRQ85eddh54qhjxg/9Bh0GfQZdJpz+ek1cFToMATUkRAQAkJgBgTK7a0zFK4iQQL0KkBTlc5BAEEeGiUIznFtDVMRTXksu2BmzznnnJ0zsE7oFUYZLnEh+hGiJgXcjuMas62tLdMIwQ8FBBi1WAfRNsQ0VufkxRvhEEAf8b6p++CDDxpMWKyY4/W4d84ZDAEYggjuEZAgGH7ooYcM7VPqJgknqMuiiKUlltf0BVHOuBFykO/ctO8ioZ3EHPj2Hb8Z8vIExoOmLH3E58g9bfMMmEeedinrnPPuvXg+uARF8MUViyyY0fG5gyOYgGt8PNyTjvYvbVf7XGCEgRXzInAAhBHl3DQGPPk8H/oDeywxnZuWR78KQkAIdA4CfO6C9Y51KU9AQQamQZ5Rr7DCCoa1Kf3AnE6ry5iwUkUAzRrNfVpZ9jM8b7COsb7QdjTgSYT8sMZF26HdesydfYY1DkZQGBPrIhYjuL6PjiEad84Z7tIZE0wYPoeBcDG+pk+vY56JVk1f0TaIO+cMyxb2EZQQwJAr96Q75yim0EQI8NvBGw3PMk/gEyxx5RjnnBcu8RtGcE57eC+CBsN9NEou5X6nATbGhKCKcb322mteITLkpV2hzwYPHuwVOumXgHInaeSl1Qvp3bt3N9yBcg7g3aJ+NECLsh5RhrKhXp5rsAKmXeiwpLooFqBYg4Y7lsDQZSgcIvBKKu9cce8kNBiWVqwrjJEALQbNx7iS+ldaYyOABXLYX3ieWQOM/rTfXNqM67F301e1eyV1Q6iFBqAN3kNoARSQUfZmPeAsm0VgQ32Cc523d7MGshayJobfAHHSyGN8CkJACNQHAWga6Jnw7mW9JtFZrIcYIEB3w9cJ/B34aUOGDPE0GGUqzYQxZaWzal0/w1iKaIdxo5zNZ35QJubTMqSFPipdncu/DtNmEfSRc8XRa4xJQQiUR0C5QkAINCMCEqA341PromPG8gJNclwlwpAfOnSodzWZheHXRSFr+GlziMDNEwzBgw46yPr27etdhzf8wDVAISAEhIAQKIsAGvwoGCUpYJWt2AKZCPGwPsH6AovVlsWgBZ6VppAfAQS2/K6xyHauaylmOOeM9xnlIz53hLAdJcf8KKqGEGhMBJpt78ZDF5678FLD57/4dIVz1a1L2rsb8zepUQmBroZAV6aztA53tV+75tt0CGjAQqCLIiABehd98M04bZjRuPZB6NqM49eYkxHAmgchOoyPk046yVCOSC6pVCEgBISAEBACzYEAlvOPPfaYJX0rvTlm0Pqj1AyFQLUIYO2K22hcsVbbhuoJASHQeAho7268Z6IRCQEh0LUQ0DrctZ63ZisEOhIB9SUEqkVAAvRqkVM9ISAEakYAN3u4uaIhBOinnHKKLb744nbzzTeTpCAEhIAQEAJCoOkQ4PMyfAsRl40LLLBA041fA24KBDTITkAA966jRo2y008/3S666CLDEr0ThqEuhYAQqAMC2rvrAKqaFAJCQAjkQEDrcA6wVFQICIGuhoDm24kISIDeieCrayHQ1RGYd9557cknnzS+x/nWW2/ZQgstZHwv6sorrzQse7o6Ppq/EBACQkAINBcCTz31lJ188sk2evRo41uAzTV6jVYIdBQCzdkP7/XIkSPtrrvuMinHNOcz1KiFQBIC2ruTUFGaEBACQqDjENA63HFYqychIASEQMcj0Nw9SoDe3M9PoxcCLYMA35Tku3UtMyFNRAgIASEgBLocAgjNx4wZY3wfustNXhMWAi2OwJZbbmlYoPfo0aPFZ6rpCYGuhYD27q71vDVbISAEGg8BrcON90w0IiEgBISAEJiGwEzTLvorBISAEOhYBB5//HEbMWKEvf322z7gvv1Pf/qTzTTTTLbffvtZt27dOnZA6k0ICAEhIASEgBAQAkJACLQ4ApqeEBACQkAICAEhIASEgBAQAkJACAgBIVAZgWa3QK88Q5UQAkKg4RD43//+51234+a2ra3N2qaGiy++2DbZZBNDsL7ZZps13Jg1ICEgBISAEBACQkAICAEhIAQ6FQF1LgSEgBAQAkJACAgBISAEhIAQEAJCoEMQkAC9Q2BO60TpQqBrIvB///d/NmjQIHvjjTfs22+/9eGzzz6zO+64w3r16mXOua4JjGYtBISAEBACQkAICAEhIASEQIsioGkJASEgBISAEBACQkAICAEhIASEQLMgIAF6szypRhynxiQEhIAQEAJCQAgIASEgBISAEBACQkAItD4CmqEQEAJCQAgIASEgBISAEBACQqALISABehd62JpqewR0JwSEgBAQAkJACAgBISAEhIAQEAJCQAi0PgKaoRAQAkJACAgBISAEhIAQEAJCIA8CEqDnQauFy06ZMsWWWWYZH5599ll74oknFDoQg3fffddjzzN4//33s/zSVEYICAEhIASEgBAQAkJACAgBISAEhIAQaH0ENEMhIASEgBBoQAReffVVz8+dMGFCA45OQxICQkAICIFaEZAAvVYEW6R+9+7dbfz48T58/vnntuqqqyp0IAbdunXz2PMMevTo0SK/qnLTUJ4QEAJCQAgIASEgBISAEBACQkAICAEh0PoIaIZCQAgIgdZEYMkll/T83MUWW6w1J6hZCQEhIAS6OAISoHfxH0DS9L/99tukZKUJASEQENBVCAgBISAEhIAQEAJCQAgIASEgBISAEGh9BDRDISAEhIAQEAJCQAgIgS6JgAToXfKxa9JCQAh0ZQQ0dyEgBISAEBACQkAICAEhIASEgBAQAkKg9RHQDIWAEBACQkAICAEhIASqQ0AC9Opwa8lazjlzzlmfPn3sm2++UehADH7605967J1zJg8ALfl6aVLFIaCWhIAQEAJCQAgIASEgBISAEBACQkAICIHWR0BN31ehAAAQAElEQVQzFAINj4BzruHHqAEKASEgBIRAdQhIgF4dbi1ZC8EtwTlXEuY6p7hzHYMB2BOccy35+9KkhIAQAAEFISAEhIAQEAJCQAgIASEgBISAEBACQqD1EdAMuwIC8HK7wjw1RyEgBIRAV0RAAvSu+NQ1ZyEgBISAEBAC1SCgOkJACAgBISAEhIAQEAJCQAgIASEgBIRA6yOgGQoBISAEhIAQ6OIISIDexX8Amr4QEAJCQAgIga6CgOYpBISAEBACQkAICAEhIASEgBAQAkJACLQ+ApqhEBACQkAICIFaEZAAvVYEVV8ICAEhIASEgBAQAvVHQD0IASEgBISAEBACQkAICAEhIASEgBAQAq2PgGYoBISAEBACDYCABOgN8BA0BCEgBISAEBACQkAItDYCmp0QEAJCQAgIASEgBISAEBACQkAICAEh0PoIaIZCQAgIgdZAQAL01niOmoUQEAJCQAgIASEgBIRAvRBQu0JACAiBghH4+uuv7aqrrrI33nij4JbVnBAQAkJACAgBISAEhMATTzxht912m4AQAvkRUA0hIASEwHcISID+HRC6CIFmRODbb7+1CRMm2NFHH22LLrqofe973zPnnA8//vGPrXfv3nbFFVfYP//5z2acXtOOmedy4okn2rzzzuufhXPTnolz1V1vv/32wrD473//a8ccc4z96Ec/ssMOO8z+/e9/F9a2GhICQqDzEeCdvu666/z6zz7gnLO2tjY7/PDD7a233qp5gDAg2Gt23333mtsKDdR7zM8995zNPvvs1rdvX/vss89Ct6lXhFo333yzx3DmmWf26zhY9u/f31577bXUetVkFNUX+84jjzxiG264oTFW55wx9k033dTGjRtn5FczPtVpHAR4hjzLHXbYweaee+7S73KbbbaxBx980PgtZR0tv2N+z3PMMYdvxzlnK620kt10000GnZC1nWrK8b7/5S9/yVW1qLlH2wnvCdd6vScXXHBBCV/nZqQB/+///s/uvfdev0bHAalU17kZ21tggQXsvffeizel+yZA4JNPPrHzzjvPevbs6ddu55wts8wyduqppxZyjqvH3h2HlfeLcynveDyv3D3lr776altuueVKZ1n27AMPPDAX3cJv//jjj/fvk3POt0WbtE0f1gH/WIcnTpxol156qe2111626qqr2ujRo1N75rmfdNJJtsgii5TWira2Njv77LONvNSKyhACQqBwBFjDiqCzQjvQFtAYzjm/Hm2wwQa56TWr8I+1rYhzH+2wVrJmcs5zzvmzU951mDWwo85QQDN+/Hg/TudmpImcm5a27bbb2rLLLkvxxMDcwXDddddtd4bqPZWXSjr5iRWVKAQaHAENTwgIgeIQmKm4ptSSEKgfAp9//rkNHTrUMwzzChMRGOyzzz4lYggiFqYhzMP6jbj+Lb/yyivWq1cvW3zxxf0hm3mdf/75NmrUKB8gdt98803be++97ac//akdfPDBOojX/7H4Hpxzdsopp9hf//pXu+OOOzwjzGdM/TPTTDPZaaed5p9ReFbx67HHHmsLL7zw1NLF/+dQeO6553rB+e9+9zsbO3Zs8Z2oRSEgBDoFgaefftozCHbeeWcvNGXvZCBvv/22DRkyxDNo2UthbpCeN0yePNkrbH3zzTd5q6aWr/eYEZijZDZlypTUMUQz3n//fYPBhVASxsnHH39sMMJeeuklgym+xBJL+D23Wgzr0RfPec8997Q111zTZpllFmPvZ8wIE37yk594RYD999/fr/vR/pso3uWH+tFHH9n222/vn+WNN95oH374oceEZw+jcp111rHtttvOKOczUv7ABDzyyCON3/Hw4cON33co+swzzxhMxs0339z+9a9/heTCrvR95ZVXWo8ePeyMM87I3C5zKmLuzGnHHXe01Vdf3ZZffnn74IMPjLXsqaee8u847zv90F/mwZUpSPsXXnhhmRLmBWYoIyFIt8g/xjpixIhISrYoAlcEj9lKq1QjIMBazVlh/vnntyOOOMJeeOGFkhLLyy+/bCjk/uIXv/DWc5StZsz12Luj42BcnC84l6633nqWdb+ljUAD8B6wz/JOkk4bF110kT/n/vGPfyQpNdA/ZVEgoY2HHnrIv9N///vfbeuttzbO/QhP6Cu1kRoz2G9RVJx11lk9HYYiwQknnGCPPfaY9evXL7F1FJ8473EuO+ecc+x///ufDxdffLFfI8nDcjKxshKFgBAoFAH2fmgAaIFa6KxoO3feeadBpzFQ1jYU5qDXDjrooNI6T161gTWNta3Wc19op5Z1mDl05BmK/lj7L7nkEmO/4D4t9OvXzytWJeU//PDDfs1mrz3ggAPsH//4h98/3n33Xa9YCrZg/PzzzydVV5oQEAL1Q0AtC4GGQkAC9IZ6HBpMHAEIFwTBs802mw0cOLDEMIyXS7qHuY2gAI1utCmvvfZafyjFIpv7pZZaygvlKZdUv1HTGC/zgpCD2IUJCrMFCzuIPpj+hLPOOssQmsCkRGiLJQuMNeo06txacVx9+/a1Pn36lKY233zzGYIOnlFaOP300+3VV181rChKFQuKzDnnnMb7RHNYJ3bv3p2oghAQAk2OAEKg9ddf3wt5l156ab/ObLHFFl6gGqYG84a9FCs3mA4hPcsVq1QUg/JajpZru95jZo4w1e+7775ywyjlIbTaZZdd7IEHHrABAwYYTG0E0hRYcMEFvXUu2CKQrwZD2gmhqL54LngTQRiK4OIPf/iDVzakH9b73//+94YFDNZwhx56aCEMO9pWyINAbWX5rSAcR9kOy3Piu+22myEsiraMkIk8ykfTQ5zfCr8BaEiUKhE0/e1vfzOYgrvuumsoZvfcc4/3WIEwp5RYQ4R+ocEZLxaZeawqmQtzqnXutIMgDab4mWee6T3x8G4754zzABZGMLXph/4oX8OUfVXWHZR155lnHkM4mhQYEwJ9XyHyB6EZ6+P3v/99Yx1HETgt7LHHHl5RluooP3Tr1o2oQpMgwHvLM0bZa+WVVzaeM79Fnn2YwhdffGFbbrmlUTakZb3y/hW9d4e+2WNffPFFb2WN0CnvGZPfOHQLQueRI0ca534CnzVAaYB+GD/r05///GduZwiMAeEz/IK+U89crDXs1xRkD0QowlkYBTj6ok/yigoIxw455BD7+c9/7hUVWeMQIkEjYEnunEvsinHw/iNsu/766/3zxeqTsNFGGxl4kLfxxhsbZRMbUaIQEAKFIMCez94PDVALnRXaGTNmjMHPQZEGOgsPUdDoYbAIfVFsDvfVXFkXWNNY2zibwF9iL4G2Ce1lOfeFdmpZh+mPuXfUGYr+CMydfRHFwSQaizRoPPZV52Zci5k7wnX2kfvvv9+22morCzTUz372Mxs2bJjBU6Uffh/wVulXQQgIASFQGQGVaDUEZmq1CWk+zY8ABAxa7BCEHJ5hfkP85ZkZbXBwRVBAXYgmmEocSjmsQgCRTj7lKJ+n/c4qyzgZL+Nm/Ahm0bLH1VLSmH74wx/ar3/9a2/tDCMGpgS4QiwmlW+FNIj3NCZLZ8yPQwyu3PP2zfPiIFRN3XJ9LbHEEnbLLbd4jwQwd2F4lSuvPCEgBBofAT7TgTUDCmMwa3Bnh7IYbkNZE2Eo89mGMBOYyVi2hfssV9y/0maWslnKdMSYYeYz1yzjYX/FjSrCc9bdo446yuJWoTDVgmITn8KA2ZKl7XiZIvvimVx++eXe08ngwYO9t51of9ABeDVBYYpylI/mK97YCPBbQZEDgSpMQhixCIFRlJg0aZLxHvfs2bM0CX6/11xzTek+GsGD06OPPuotXGEKolSJcBdrbNq74YYbDIVL6kAnvP7660TNqvyLwifMaOhvrK6gwfM0VdTcaYezBNggxMcFfnwceGrAVTbvCeVYC6gXL5f1nnUXxVXouHfeecfSAvjgQSraLooLPA+s5bGEYh2/7LLLLC2wVnEmQCFytdVWizaleIMj8MYbb3h6HAY+Fsycf3nO7C38hti/wjvJM2b/wbNBnmkVvXeHvvGEttNOO3lL6ZCW54rCAMpoKPVwLsX7BUrGBJRCUAxfa621fJMoEPBO+JvYH+qy95EMHRR/n5xztt9++3mvbVgp8k5imU75WgPKziuuuKLhAQ5BDWMhHhSV09qnf8bBeOBJICSPl2Xu5FGGstSJl9G9EBACtSPAXl8UnYVg/KuvvvKfe4L25hOL0Fnw7O6++277zW9+UxowBj3s8aWEHJGizlBFrcNgCN0E/VTvM1QUJjz1wGvDmCiNzoJOhs6N1iPO3KGfWGP33Xdfa2trI7ldcM75T3H88pe/NGhilLvaFdCNEBACQqBVEdC8ZkBAAvQZIFFCZyGAhjnMOwhNhHoI96odC0xCmNuh/tprr+3dJHIPQxxrLOIEysGoIN7oAeYp42WcMMqwIsIVJvflAlYLuA2nDEQi2qGtqEEJ8Q6TtFmeJ8+jXGhra/MueWGYlyuXJ885Z2ussYbXqOXq3IzauHnaU1khIAQ6HwH2S1wxI4xhD42OCKEVTG5chQYhOvsA3zqOlisXZ7/Agm3QoEEW2ihXPktevceM8OG4444z9juYOZXGBIMlMOgRZrD+JtWBqY0iEsIMFNpwS51UrlxaUX0hSIEOoC/GFRWkkhYC6eRzT3nqEVdofAQQkmMdjetzaDne5+iosawZO3ZsO083MBT5/UfLcY/yBL/xJZdcMprl4845Q9AdLKSwfKRvn1nlH94RfncwjekXBnWepui/iLnTTnCljrALq6KkccAgXXfddX0WyibPPvusj1fzByYyykx8OoFzR5428PKBBetvf/vbksegcvUZJ88LBnHaulWuvvI6DwHeVRTfeL9R0IqOBOUnlKB5B5ybRqvz20BxOlquXLwee3foD+tuxo/1NEp6Wc6joS5X3NbzGTL2aZSGSYuGOeaYwxBuODdt7gjssfaOlkHZhM9RIWCnf5SCovkhjoJM//79/S37bxFCkMcff9xb3vNMoLugsVZaaSXfR6U/WJczDuec4TI5aY0gjTznnFeUok6ldpUvBIRAfgSgEVhnWYdrobP4bCR7P0qMrEfxkUC/oQzDGYI8DFv43B/xvKGoM1QR6zBjZz2DziNe7zMUfRDAj72Hz1WiwERanoCHIBStqQMtzTUpsBcFupny//nPf5KKKU0ICAEhIAQaCIF6DEUC9HqgqjarQuDhhx82DqMIvxGmV3u4RSMTYTGMOwYCsx+LE+IhLLbYYgZjgnvK8Y0ymIvcN2oIVgqMlzFyqIYpTrxScM4Z2vy4d6IsGpR8AxOcuW+VgOAc64xWmY9zzgt/8MTQKnPSPISAECgWAQ7yMBD49mZbW1tq47iGDQxkCmGlDvOZeLnAPnHyySd76y1c25UrmzWv3mMOylRccesK06rS2BACTJkyxReLKt35hMgfhBy/+tWvfApWtXzf1N/k+FNUX+x5MO/pGoWoQNdwHw2kk08aRUTUlAAAEABJREFU5bFoJa7Q+AjwG4Oxh3A7bbQIh7B0cm6aoAmhGbRwtDyWkiiPsg5E06Px6O8kml5tHKHYT3/601L1SlaZpYLfRYqaO+0EJjXvLoKp77pod8FtZ3hPEMgFZnC7QhluUKrBipj1EqF2hirtinz55ZfeFTRrjZm1y4vfsIbjLYB03D7HrW9JV2hMBLA8xDqcMyjvcNooeffxHhby+fRCiJe71mPvjvaHIkrYW1k78N4QzS8XxzsFAnHObKwTaWURiOMaPS2f8yzvN/koIsw111xEEwPKM/AEyKzF8pP6WJpvsskmBs2AQjuKBPRPXqWAsmNYW5gbc0yrQx5lyL/44ouN3wxxBSEgBIpDgDWkCDqLz+HgBSPOd4yOlH0dOiSaljde1BmqqHWY8Rd1rqGtrOHWW2/1RVES95GcfzBQgdajGnGuScE5V/JIhhIXdFdSOaUJASEgBIRAayPQgQL01gZSs6sdAaw+cCmJhh/MLZhYSdqblXpCIxPtwFAOhlg4MIc0GEwc9sM9B2HcY4b7RrsiBMAVJO79GBvz4Xtwzk1jlpJWKUCwUyeUu/nmmw2rpXDf7FcYxghKgoJBs88njB+GKCHc6yoEhIAQiCLAoR9mClYT0fR43DlnUSY8jFjqxcvF7/F8wp6KlVgeBnm8neh9vcfMnv773//eu0osJ5gIYwKLIFTmG4ALL7xwyJrh6pyzFVZYwaezNyMA8TcZ/xTVF88Oi5nQLdazIZ50jeYzZuonlVNa4yAAkw46DdomSrMmjXDZZZe1oGzHN8YR0kTL4dkJa+hoWlI8CMSgv7EOTSrTEWlFzZ12OBeEMYNTiCddo59EwpKM9zWpXLm0P/3pT0afWPxDr3O+IZ7V8wPrS/R9LdcXLktR4mFt5txUrmzn5KnXNARQZkLpbfXVV08r4tN599f6zpU5CZMnT+ZSMdRj767YacYCrDN4tcFde7kqlCNQplevXoarXuIhBO8L3C+00ELG/k08KdAX6xp5KBQh7CKeN4A/SuwIz6mLEkA5xSTKRAOfGSOQhiXq7LPPTjQxkEcZMmsZM/UVhIAQmBEBaISi6CzOYSg8zdjL9BTnpgtjobEC3Ta9ROVYUWco1tYi1mHopI46QwV0+KQF7vIxMAJDlI04p7JOohgQypW7wm8O+SgiovwY7qPXTz/91N58802fhKIUfGR/oz9CQAgIASHQpRCQAD3r41a5DkcAhgEMoTwdQwTH3dJC5HTv3r1dM9yTHhJhgqMNTv2Q1khXXEtF54XmKlb0eccIEw9mHvUQNOOqqlHnzBizBoTnWAJgiZC1jsoJASEgBFoBAfazs846y7AGqzQfXJmHPQBGdJR5kFQXxgSWrYMHD7ZyFhVJdcul1XPMWN7yTVW+eZrVnSqCDNwtM2Ys2AKTnfukgKJfSEf5Li6sDHlJ16L6goGG8IA+EBoEKzXukwL5lCOPetQnrtDYCAwcONB/yqXSKFEUQRhHuSTFUdIrBehBlGUot/3229uCCy5ItNNCEXOH8QmNmHUSKJuGNRLaO09d+gBDaGtobO6xAkYQj4tR1hUEbY888ohx7iC/1oCyEO7eEfwHQVutbap+BIE6Rnm/Tj/99JJHtHJdYR0Z8nnXQzztWq+9O62/eqVPnDjR2KvwZJFkZYgVe9a+oXmCm1/evyDEzlqfctS79NJLjX2ce2gMPLwRzxpwwU87lGfNZlzEkwJ5lCGPOtQlriAEhEBxCBRBa2QdDeeFsG7ttddehpJM1rqhXD3PUKGP6LXSOsx62FFnqDAuPpmB2/hwT/w3v/mNsVfOM888dv7551uaQDzUYW3FPTv3Y8aM8XVYZ7mPBpStoLVmmmkmgzaO5ikuBISAEBACXQcBCdC7yLPuKtPEuuOZZ56parowwalfVeU6Vxo3bpwF95N0hWVKYIRznzWgnQ9hGco/+uijxveDuMc6hnadc+bctIBQhrwQKIMFABqrzk0rg1AlWMaHctErTJyjjz7aYO6htQljkjpYVKHFHy0bjUPAwrwcNGiQBasprKoOOeQQo3/awUUmVj60DeEc6vPNQOemjQ/mQxKTpNpxhT7qeeVwtc0221g5XMnDZTNCM+emzZWDQJYDA5q5fC6BQwAHhrS5YKGIeyzcGYMhz4QDC8Ij55z17dt3hjE2Mq5p81S6EGhmBDj8o1SVdw5YWSNoS6uH4Afh+TrrrGOVLCrS2khLr9eYWaP4HioKcgjQnXNpQ2iXzv6B4ItEGOzsG8TTQlTIhlUCAqy0svH0ovqi30CzwIBjTPG+ovfkU4406lGfuELjIoCCCzQXCqV5RomgFkWQPHUo+8ILL9jdd99t0B8ozTiX7f2hbtGhqLlDx2CplHV80FThPcG1J8K7rHUpx/t95513Ek0MKCisueaatuOOO1qtn45izYJGoyO8i4Rxc6/Q+Aig0AY9nXek4XNcafWie3fRe3dan/VI5/c9fPhwQ5mea9K8y50j42NiXwfzkB6EWOE+y5X3G49woexuu+1mc845Z7iteGU9QhgTCi666KIhmnqNlqEubaQWVoYQEAK5ECiK1sjaKUowKLHCw0GAnrVetFy9zlDRPkI8yzrMukg56tT7DEUfuFHHyxjxpPDhhx8a/EI8DrFmJpUhDaXDqHfOY445xjCo4ixJPgE6DXr4q6++sjPOOMMwRiJdQQgIASEgBLoeAhKg1/DM2Vxx3wXhxfe74oH0zz77rDArgxqG2uxVM4//rbfeaidozlxxakHcIOL2Z2q04f4j7IwOCoZq9D5rHKE7wutQHsYgWqXcQ8SjXdmvXz9uEwNlEOaPHTvWMzQSC32XCAPntNNOMyzlEdJQD+Eq1kADBgywiy66yCBs6fO7Kv4CY/+8884zGAZYZ/z2t781mJgQsFtttZXXDsWyB63SoUOHGkJ/8s4880xfnz/EeT8JENm4wySdUO24qNtRAWEMv8ek/pgT3+5D+MUBAQz47hRMsrffftsfGHDjGWcqUQ+FBA5s/A5WW201GzlypHEgiPYDPrgDRbgOs4nfA8+OMriDXG+99UqWFw8//LDhCpg86lXzvKmrIASEQMcgwJrPeuqcs4033rhspyhMwRQ58cQTDfqmbOE6ZuYZ8/33328wVc455xzLYqUXhs08Q5x1D/ot3CddUeBiXyMPhaeoghtp5UJRfbF3s67TFwoDlZ4R+ZSjPPWoT1yhNRCAtoIGZja4e84j1KEOdMcRRxxhBxxwgEFj5Hl/qN+ZIc/cWU/KjRUFTUIok9ez0fLLL28oezImvlWNhTFuWkN74XrjjTfaDjvsUJMQHXoZ5V/WK33qJyDbmtcg7MXyEPq93CwbZe8uN8ZKeexRI0aMMH7fnDnxMlapDm6EywmXnZvuOpm22Lc5IxLPGvAGN2XKFF8cIRYKhpx/UC4+6qijbN9997WTTjrJUOYn3ReM/IEvxFksJPE8QzztGi1DXdpIK6t0ISAE6ocA+3otdBZ8xsGDBxu8LYxUoMvrN9ppLUPzZD33Tasx/W/Wdbioc830nsvHOKdx3oOHBe/rmmuu8Z8ow0I8WpNzDnwr1uNoeog75+yEE06wVVZZxSfBX+zfv7+xlsNnhC7eeuutDa9B8NvgoTnXeYqlfpD6IwSEgBDoogiwRnNGZ+9MCpyH89L1eaGUAD0vYpHyzjljo0bjjkNSPJDOA3ZOG6110D8IOHCvpjuIRAitauqWr1NbLotAYJyElji0h3ieK4sKblxDHeb84osvhlsvJOndu3fpPi2CJTkWTmn5pMMchCilv3322afkopB3AgYtSgAwIdAQRQBOHRgfzz33nNH2D37wA5J8+PLLL41vzPXp08ewOkd4QQaCYBZP4llDNePK2nYR5Xgmo0ePNhijSe0hxMYin8MCTG4YsATq4LaYOhwUKAPxzz0ByzJcW3HQAE/SkgIeCQh8T4qxhDJPPvmk8a0pvhGFsD6kByZ7o+MaxqurEOjKCPAeM3/cCAeGAffxwF7KeoG2Pd8Njed35H3WMWNligCQgGJV1jGyzuH2PZTHVWy3bt3CbeIVhnZUGI3ALLFgLLHIvqJjxtq40pjJp1wYUrR+SNO1eRGAfoVRirXmzjvv7D0JZZkNv0neMb7DjKDqjjvu8EIr0rPUb4Qy5ebOewo9E8bJ2hbiWa6c7bKUi5ehX77JiRcP3Jvi8WGPPfZoV+yee+6xc88916rFGs9A0HQoqmJJ1a5x3bQMApxr8VzAhDbccEMr96z5fTfK3s14qwmce4888khDkMG7w3knbY+NKqfkFS6Da553D2W5qHcJvLpxJoNmQJCO4t7ll19ufFMY1+7zzjuvsZ5G++CcG868YMMZmWu5EC1DXdooV155QkAI1AeBcrRGuR7x/AefBh4bfDcMH1577bVyVQrLg76jsUrnPspEQ9Z1mPUtep5gPeS8EW0rHq/2DBVvBx4g9N0uu+xieFRkn8AL2WyzzWbhH4pV8B2jYwx5XFE25XlEPZxAl7HP4iEGHLBih18JD5M6CkJACAgBIdDxCCB7ZT/lbJ4UoOsr7T+1jloC9BoRjG7QSU3ldbuY1IbSsiOQRhxlbaHW+ln7yVMOISjuukMdhMe4Yg33ea9R93XUheHANTVUkcHhHmKUqowfjV3iISB0DUwPlAPCGFjwYA7B/IXpGMpjKQ2BjCUkwngOHViZ42aJtkK5Stdqx1Wp3Tz5EPcwVLBiiAesRnCXHp17tG0YY1jvI8DeYostolmeWb733nsbhxIyYPJgIU6c0LNnT698MGLECANj0pICDCEE8owhWO6juYzHACw76RuGEWO/9tprjXE0Aq5Jc1GaEBAC0xGA+Xvvvff6hIMOOijVQhvrpsMOO8yw+Kpkpe4bq+OfrGOGYMbqC/fLuG7PMySYI1ii5akTL5vVSrXIvtgH4+PIc19r/Tx9qWz9EcD1Ou8Be/KKK65YsUMOnnibWXXVVb31DYxhKiGwQhgEw5EypDV6KDd3BNkofYY5YNHKuhLuO+qKR6WrrrrK8LqEi9PQL+6goe3CfdYrTOuwnvO8YFpnratyzYUAHql4V1GO4b1EGTppBo20dyeNr1IaisN4skLRC09klMfahE9T4XUL5WDSogEllXDPN3hZv8J90VeeQ3TfRDEZRh5WpYyTwLvMOYm+8RK22Wab2ZAhQ0pKMsyxlvWHurRB+3UP6kAICIF2CJSjNdoV/O4G/gg8E9apLbfc0nunIQuhNgJb1jn2ctLqEVgvAp1Q7twX7Zv1Jc86XOS5JjqOauJYpmNMgpcAvFaGNlBAC3zJkBa94p0ThcYo7cx6j6EPZ2G8YkbLKy4EhIAQEAKNiUC9FZ0kQG/M565RVYlA9GBbTRO11q+mz0p1YGDCFKlUrtp8tNmrrZtWD+ZOUC5BiQTBeFpZ5gaTIZ4f6pOO1ixu8Zyb5s0Bi0i+qx6E8JRJC9H0IsYVba+aOMQ4c9l2220tHhCAYwGW1Dr/yrMAABAASURBVC4HrIsvvtjQpN10002NucTLtbW1Ge5DSac8VuFcuQ+BZ5GF0YpWLweRUA9vAhwwuGdjwqXVTjvt5D0LMJbwvKp93rSrIASEQP0Q4Lt7WCzizo5PM6T1dOmll/pPoRx33HGJ60xavXqkZx3zXXfdZVh34BIRgVk9xqI2hUCjIoDXGBQNUaDjG47s35XGiiAZJUQ+pYPQPV4HjzO4GY3TEJXa7ej8SnN3ztkGG2xQGhZrYPgsTSmxTKRoximWqSgg8qzoFpoQhUfieQIeNx544AGvPNnZik55xq2y+REYNWqU4Up2zz339MouaS000t6dNsa0dM6CrDkILXbccUeLn+84+3DmwONCtA3Wr6AYjgLRDTfcUBJWR8slxakXPecklYmmMbagEO6cMyzjUezGQtw559/FpZZayni/Bw4cWKqKMAoLxlKCIh2CgDoRAkUiUInWSOqLcwmCWTworrXWWt5zabQcrsIRsEfTioxnPUOFPqtdh0P9RrniqfPKK680lAvDmFiXmV+4j1/hLWJkwr4QzYP/xd5TD35ptB/FhYAQEAJCoPERkAC98Z+RRigEmg4BBKowXmEsIMTF8iZtEjBnsVJPyycdRkoeS3PqJIWix5XUR6U0LOlxs8q844FvOSFAxwr8u3ZKF+pguY4HAtxKlTIiEQRHUUur8ePHG8zZSJGqovRZjoncCLhWNTFVEgJdBAGYBsOGDfNW5+WEzFhH4roOF3gwEzoTnqxjhqGOQhUW6Hlct3fm3NS3ECgSgeuuu87eeOMN/6mbrO/AGmus4b3S8FkcmLwwB/lkA+7RwthYM4KHoJDWaNcsc0dpCME1Y4fuwsU18+U+GrAmHT58uCEoI905Z0E5kPuiAkqhp556aqk5XLoyrlJChshLL71kKP1CUyJEzFBFRZoQAYQ2eH+C7i+n1NZIe3c1MHN+YQ9nPcIbF5bkWHP37Nmz1ByeXvDiUEqYGmlra/Ou3qdG/X/ywcLfxP48/vjjdtttt5VScd3rnCvdV4pwDgtlONf27ds33La7oozEZ8fCmsM5jHG1K6QbIVAeAeU2GAJZaI34kHfYYYcSnfXggw8aFuF8Yi+Uw2sFn35IokdCmWqvWc9Q0farXYejbTRKHL4hZ9mgrAiNzFqcNj6s1KEVV1ttNTv55JPbKTsgfMebCIpsafWVLgSEgBAQAq2PgATorf+MNcMmRwBiFgZZmAZMNgjucJ/3CoMwWgfhdPS+qHiPHj1s8ODBBiEabRNm0OGHH25YVETTOyreqONi/jBd1lxzTbvwwgsNV42khYCLQJi6uFPHxZRzzls7ONf+CuMp1MH1P661wn09r8m4mnX2867nnNW2EGgWBLBMwwUsjPg0ARsMHD7dsP3229u6667b6VPLMmY8tJx++umG4tDuu+9e1ZjZY4N3jaoamFqpnILR1OzS/yL7wtKt1HAVkXrt/VUMRVVqQOC5554zPmnD5234RmO1TeE95te//rVhyR6E6HzaAKFTtW3Wu17WuSMow1V6YKQ++uijhvArCK5ZR5599lnbaKONDOVP55wfOp+ESFJo9Jk1/sGda1h3wDkvrYYgkPMAVm1YwNY4HFVvQASwqEbZA+trvEWkKbU12t5dFJTscWPHjm1nRYi3BoRQoQ/nnB1xxBGlMpyR+BQWloS817wjCL6PPPJI69evn6GoHOr26tUrRDNdo8IXPsNQznqdNQdPXaFhPH4wbt7VLF7AQr34dfbZZzfWpXi67oVAYyHQWqPJSmtUmjUKefB4UGQOZfGKg0JcuC/qmuUMlaWvSutwkeeaLOPJUwY3+az71GH9xT098XjACwD8Sj5xyN6BMhdu9vl0SCgL3bjLLrsY+21I01UICAEhIAS6FgISoHet593ys62VIVxr/XoAjFAVgju0jbV2LRqQWKyEtrhyyOdaz4DQHs3bVVZZxfiGN0wFmIf17DNL23nHxbesEEqXC1EGS5YxJJXhW1nzzDNPu6zA6EWZAmYQTKFKYfLkyZbGcGvXeME3eXEtuPvimlNLQqAFEMAaCyEzIfpNuOjUWEtgtvA5DYTozk0TIEXLdGQ8y5gZD0Ik3CMiQEQASFo1IbpOIshCcFGuHfbhwIh3Lp+ValF9xdtBWFBuzOQzt1CmI/b+0Jeu9UEARh6CoRVWWMGwYoJerLUn3Ln379+/1Mwrr7xSijdSJO/csfrGnWlgiOJSmU/eoCyAwuLqq69uWB9hdc96yFx/9atfGQIv4kUH3j+Yu9W0i0AV9+3UxT29c527XjMOheIRuPXWW+3qq682FN/4/Sb1wG+1kfbupDHWkoYVIcImPGHRDucaBCHEQ6DMzTffbCj/kYYQfdddd/WKyLzfuOTFUw30wlxzzUURw8Uv77e/qdMfBDJ46KL5MG4+ozX33HOT5MMnn3zir+X+RMswV9ooV155QkAI1IhApHpeWiNSNTHqnLMDDjjAMJigAOcN1ifiRYWsZ6is/bHulFuH4+cR5lSu7VrOUOXajec556x3797x5Hb37B18UhGFRty1BzoaDyLgGD03Q3fhpY19t10juhECQkAICIEugYAE6F3iMXedScKQqmW2tdavpe+0uhyUe/bs2S4bN3btEjLe4M4pSqRzsK+WgZelSwhMBOcoJgwdOtRwf4X1wKqrrtqp39atdlz33XefZ6bCUE0Lhx56aBZoypbBOgFryqhACOE9lXiGRQjpaavoUC2uRY9D7U1DQH+FAMpWAwcONCxTDzvsMO+1IgkVrC9x37zpppvaI488YrirSwr3339/yYLrrbfealcOK8qktvOmZR0z3i2wmEXohYeOpPGSxqcvAgOatnFXTTqBeowPCwuuBIRTYb3lPinAwA9tYhEGgz6pXFJaUX3B7GEPp4+///3vVmnM5FOO8s45C4JE7hWaDwEUImDkociBxQwMziJmwW9qjz32KNFoCH6KaLfINqqdO7Q0SqTPPPOMwQzGap9PDSFY/+ijj4w1EqFlGCsW6dDg4b7IK+1C69EmV+6JZwm4t54wYYLh+SdNsJqlHZVpXARwX37MMcd4j1RRBn58xI20d8fHVtQ9ii68i7THvsv+SzwaWP9uuOEG//kFPsOAm+SDDz7Ye9Rg38ezBp+jePvtt301hCNtbW0+nvVPdO/OUodzIu82ZcO4Z511VmPvJo2QZX2NlmHMWHxSV0EICIH6IlAtrVFpVLzD0B+hXPQdD2nVXlnvspz78rZfbh2Oro31PkPlHTfrMHUwRuK8RjwEzkRYm+PZc++99zY8i4Q8rihasa9EnxWf42AvIV9BCAgBISAEuhYCM3Wt6Wq2rY4ADGHnqrPEcK5xGcprrbVWO8EH7p4QVuZ9nhCKMA9DvcUWW8z4rl64L/KKdikMDFwB4/IIYQXfjCuyj2raatRxRefSrVs322uvvSy4GyWPAxFXGEdFCapor6jQDLgWNVe10yEIqJMaEcBqgrUXjxbHHXecBa36pGbxajFlyhTDXSya+GkBgXWwLMCdXbQcjPyktvOk5Rkz+xnjvvLKKy06jnh83333NebGONj/sEwLZbBII519MFi4YYWPsJn0tMA6zJpHPi6ee/ToQTRTKKov9tMguM+iWAUGlGOQuIBl3MQVmg8B6D9cjUNXXXPNNZbn95dltghp+I1QNmpZxH1nh1rn/r3vfc+w2D/qqKP8t0n51FDfvn2t21S6C8E0Hi2YI+/WJptsQrTuAQYvigtZO7r77ruNdRgLV7wSZa2ncs2BAELebbbZxmDoo0zrXPq5lj2Qtb2z9+56Isu7EazFk4Qg0b4RgIDZRRddZHiTYK9nLWO/Hj58eKkoSkJRJeVSRpkI62yogwJf1KNLUjXK4t0imsdcEN6HtCznuWgZlIBYq0J9XYWAEKgPArXSGpVGBQ+ONYJyRdFZec5Q9JsnsHalrcNFnWu+G09dLgjD2T+ijcNPRVnNOefpwmheiHN2xsNTnz59fBLrMS79/Y3+CAEhIASEQJdCQAL0LvW4W3+yMIQ5KFczU+pRv5q69a4Ds48Q+kFQgfAg3Ge9jh8/3oIgljowFoJ2PPdFBRh7gwYNMtwKrrHGGv77dBCgRbVfbTu1jmuzzTYzDlTlAt8prHZ85erBzCWfvv/0pz8RbZhQK64NMxENRAgUhkDnNoTVBK6dEYTh/aMR1t9KiHTmmNn7gwUFeyRC9HLjnThxot8LKMOnSeJWDaSnhaL6gmZZccUVfTcI9GHq+JuUP+RTjmyYYAjtiCs0HwJ8r/Haa6+122+/vZ01Y1EzQchMoL3wXhBvhFCvuUNb4SobYSTzxHoVJRXi9Qiffvqpvfnmm75pFE19JMMf3uF7773Xl8T7Bkxtf6M/LYEAAhAE57vttpsdfvjh7ZSnW2KCVU4irEcImvLst6E7zk14EeMe18l42yGeJ7BnBvfr0AjQClnrc9amPuVRfAnvLbREOYU98ihDPeecoVBPXEEICIH6IlAvWiOMms9LOOe8t5+oV4qQn/faEWeotHW4qHNN3jlnKR++L4+3nrinUT6PSBsoMpTbV/Bwst9++1HUh/KeQH0R/RECQkAICIEWREAC9BZ8qF15ShxOYQxXwuDrr782QrQcB9pGteSAqMMiOYwXK7q82o8wBwPTjXY4zCNAJ150eOGFF/x3+2h3/fXXN1xVEe/s0KjjyoLLoosuWip244032gcffFC6T4vw7SZcQMZ/62nlq01vZlyrnbPqCYFGRQAmCi7bcbF+3nnnGYyBtLGyL+ACegbloG+/9QJi8qMB18fBUhsGfzSPNtL6qZRezZhRKsMCLDqGpDgWemFvh3GO4CqUO/roo/3Q2GODtSmunCu553v66ad9PZjg2223nY9n/VNUX/SNlSL9Mp/ACOI+KZBPOfJ22mknb3FLXKG5EICpy6diLr/8cltkkUXKDp53OzzzsgVjmQiR8VaAxU4WmjpWvW639Zw7AraLL77Yjx1LowEDBvh4vf5gZYxSK59RqvSNzugYsJLnXebZoKAazVO8uRFAeL7DDjsYihtHHHGEBWFF0qyg69k32Xd5xyuFeu3dSWOrRxoKYLSbV2GNOv/85z8NLzy46YV+4fMN1ZxL4TEEATZ0BO8w7aeFsI6Sjycg9n7iyy67bMnakfeZ5056UiCPMuRB8xCIKwgBIVA/BOpJa4RRowyHZwws0bHgDunVXNkL8p77quknbR1mbeuoM1SecYMvnyVDWYFzj3Pp3lwqtcszYv+gXDMopTPOqoIqCQEhIASEQCoCEqCnQqOMZkQAt2a4Z42OHSYgh9hoGsJHCNdoGoxoGNLRtEaK77jjjgZTjzHBKLnwwgsNwpD7LOGVV14xBK+hLNaJlSyLYNCE8tEr/cKYjaZF4zBqvvjiC59UjgHkC3Tgn0YdVxYIllxySYNhSlmYKbgt5nfAfVKAsYMFFb/rej+DZsY1CTulCYFmRYA1AdfOaMez3qM1X24ufNMSULABAAAQAElEQVS8Xl4zyvUbzavHmKPtZ42zVnbv3t0XR5jmIwl/+L7fE0884XPWWWedEiPcJ2T8U1RfMPNh6tDt448/7t06E48HrNgeeOABn0z5PBavvpL+NAQCKMXxGYWRI0ca1jTlBoWXIsry7MuVS8obN26coUgCPc3vJalMR6fVc+7QSyipQteyBpx77rlWae1Mmz9nDgR2rGtpZcjD2v2TTz4xXMgHq9a08tH0MWPGGOPEDTQeRqJ5ijcvAghAOJfhbSqL1xjckT/44IPNO+EcI+d9Yk9G8TtqBZilCXBFkTgovfG920prZ1q7zjnbfvvtS14BbrnlFq9omFaecfOOk7/RRhuVlNZYW/i8DunvvPOOQa8RTwpYT6IMSR6u6RFUEVcQAkKgPgjUk9YII4YGwCMGV3g1rG0hL++VNjri3Md6Vm4dLupck2X+rOvQuFzLlWe84Ax9x6d64mWXW245nwTPEt6av6nwxzlnoV6FosruBATUpRAQAkKgnghIgF5PdNV2pyCw9tprGxYdoXOYhxBG4Z5rXAAMIwpXiOQ1auDADVMP5h5jvPPOOy18v5X7cgECE4YMjH/KwfSHCeHcjJqYUUtnLNZhBlInBITqCGaC6zruCSGfa1Rh4aGHHppB0A8R/uqrr1K0sBBwocE4MwIX46R3xrjot4jAc9lyyy1LTR177LF2+umnG8+2lPhdBOskmDVbb721dYT1WDPj+h1kugiBpkcAJsqQIUMMxvoVV1xRUrhJmxhrMN9NrYcwlbGg9Y9FBFfuk8ZBeqOMGboBBjXjxPoERTvi8YDCENhh0YCL3biFP3sj1m4HHHCApc29Ql+lLiv1hRt3rJGpgIA8jQH0xhtvGAJ2ylGeesQVmgcBfgtbbbWVnXHGGbbqqquWHTieGRDGISgKv0/oNJiJtJNEN4QGYUpCayI4xwrWuRnpxMmTJ3uLzssuu2wG+i60U+SVMdcy93JjQVGgf//+XoiFddGIESPKKidMmDDBWNcIKKZG2x47dqwXvMMMR0EVASdrXLQMcdaXiy66yM4++2xjXqRlCdDj9EHZtdZaq6x3EcooNAcCvI/8nhCUVvIaw4xQfOM3lMdzAfWyBH6v7FuMhyv3WepVU+a9996zu+++u6JHrVGjRtnzzz9vKASxd2btizWPtQxvHdRhvz7ssMNKAnDSoiHL3o0Xm2BpOXr0aOP7udE2onHmxvmTMcc91XBPOvk33HBDoiAe7OmDK2WpE21fcSEgBIpFoFZaA/4iAlvOCKw/aaODdsAQAt5jUKaJl81CZ7E21HqGKmodZo3qiDMUPEQ+X8U5Bt4o3ycH9zh+KEYeeOCBhidMyiRZjcMjW2KJJXxV1uGkdnzm1D8oM8FPXnzxxQ0vIlOT9F8IFI2A2hMCQqDBEZAAvcEfUFceHoQnIS8GWHIgFIC5TV2IHYgo4iFwz6GVe8odf/zxFv8uDnmNFmCGwkhAWAzRvOeee3ohOvG0scKYQdAaGAgIz2+++WbP5Euq88tf/tKwgCDv4YcfNohPiFUUER599FHbcMMN/Xcbe/XqRRHDnRMWjAgb6ItEXMw5N43pirUMzwOGLu0g2MEFH4xAyhLQ9uV5PPnkkxYVxpJHIK/cHCmz8MILl5giCO2DC16EyTCC6L+WcVXzW2Rc4BYUF7hn3klzJK9cwDvCCSecYAjSQznueVYIRCD8YcaiYbv88svb6quvbkmMInAEz9BGeGbhPulKHVwfJuWRVguu4EMbCkJACNSGAAz1o446ymAC460Et+VpAVekCHiwYCTU1vOMtVnLYQydf/75/pudMPxnLGXWSGN2zhkCQ5gpCKJhbrH2RceNO1X2M9IRZMaVD2C+7LPPPkYZ3EEj5GKO0TaIO1d7X7RDgPkG1uwrCF/iazr3pJPP2LDEoF79glouGgFoVtxPItxmX097r0M6VorQb6wDYSwoRHKPwiiu3xHu8DsO+VwRJu+///5eMAsTeL755iO5XeAdwNKI3ziKmFh3xttpVyFyE6wxI0kVo0XMPa0T6MQNNtjAoBkRerNOBeFYUh3wR+DNukbg00/Qr6Es73+glVhDoLehP6F9KQOdjLXZvvvua9dcc40NGjSoRLeSXynw+SYsaRH0x9eeSnWV35gI8O5gPXjppZcan0OCMR/e46QrZ1zWe9z3IzwoelZZ9+54v/z28YwQT0+750yGh4uNN97YevToYexNrD/R8mCDojgKacOGDfPvSzS/XJzxoESEsjHlcNtOSBKikE95xsC6Vm7vRiHpggsu8Gcx9tSBAwcaayJtRANKa1dddZV1797doCV4btF87ukLHgTloutIKEcaeWlthHK6CgEhUDsCRdAarB0IbDlfIeRN+twidMcee+xhffv2NXh6SZ+TYE3JQmdxvqjl3FfkOuxc7eeaLOswPCx4aTxxyjN/FJvg97FnwFdCERLhODzLm266KZXniRD+tNNOM9bhO+64w1hvaYO2o4HfRlivKU+9aL7iQkAIgICCEGh9BGZq/Slqhs2KAAQmzKb4+NHajKfF7zmQDx48uJQctQKBMAruVykAE5xvyBFvhgDTDEsymPwoB2yxxRaGpdu7777bbvjME2ISBl/AAoL91ltvTSUkaQBhCgw/4oSrr77aYCzCNIBhA0F65plnllzRUQZLGrQ7YSZw37t3b2OcxAkQmxwQaAcBOozcE088kSwfyIepAZNhlllmMYTVWNj7zKl/YG5OnDhxaiz9P0xhFAwo8eabbxoC9Xnmmcd22GEH4zu3tFvLuCCuaTtvgCEWLIaoC4MIBQbmyH2esMACCxjPj2cf6n344YcGYwkX/8wTpjlCIDwOgGkoF64cAmCQhfvouxHSuML8YezEOaDAxOI3xX081ILrzDPPHG9O90JACOREgDUF6ySEN3yehP2gXMDiwDnXzh1pzi7LFmePDcx0xvTss8/OUL7RxswAERgiOETJC8b7KaecYjCYyMM6EK8eKJLBsEGQ6dw0RTHyCQgIozQKc2dvhBlGfjTU2ldoi70VJhyuZVFm23vvvS0I7LhyTzr5jCVpXwht6WpmDQYCezYCMzzroAxR7r0OeZTbdNNNDUWZMB1ouEDH4DYYOhlhHfQbDEYEQbilZD/H8pTfZ6gbvUKbR3/jWIaGdyRaLh6HjsDlcUjHQovfZ7hPuhY193jb4AODFYspLM7w7oN1Ee99vGz0nnUT7EIaNC/CTxi6pEH3YiUbcCYNYRu0r3POWy3NP//8xlrC++hc+/WD8uUC6yp0P88NJYhyZZXX+AhAU7MmQ7sTh54P73DalTIIVMspetQyc35jlfbuePuMnTUD5T3yuHKGIJ4W+LTUrLPOWsrmkwYI0lEuQSGYsyJrEYrB7LkHHXRQJmUTxsLZFy8dvJucBTmDsWfTZ6nDWCTP3s1ZDGFLz549Dc8vCMIee+wx7xGMsx00BIIb1hnonHA2jXVpm2++udEOCtKs1/fcc48//9IGcdLIu+6668p6xYi3q3shIATyIVAUrRFVanr++ee9F0AUaVnPWNew0IaXhvIc99Hy0RFnobNYW2o997EmFrkOQzey/kFL1esMhfAaumquueYqQYZiIcYj0F7w+xgDvFL4Y9yXCiZEUIq89tprDcVEjIbgqYI/ewlrOIZAKEOShoCd8gnNKEkICIFmR0DjFwIZEJAAPQNIKtLxCMBcgvAKTKnoCHAZCVEKYRNNj8Y5cMKQOPXUU30yGqF8M5JDKVfuySA/iQlOXiOHJZdc0mAQXH/99V5QfMkllxiWCnPMMYe/Ev/BD35gEJMQlVgdITQNAupyc3POGVr7CGKxYobZjjUTzD4EqgjPaRvmHa7xYJRghU48ELMw9GHIwrBAy542aAtGAYyQtrY2w8U4lnMQ7zAjsObBSo5nArMRa4wwTpiWaPP269fPOISE9OiVQwjCfg4mENC0sdtuuxnzpn3KVjuuCy+8MBPjhj4I/Dax+gcjGEAwPEkPActxsGI+/JZDepYrzx6GL0Q8zxdsCbiUwkoD5i4MOZjl0fawNuMZ4mEABYOQx9xok2cOM5jxoIxAOe5DOZQcKAcTi0NESOdaC648K9pQEAJCoDoEsHBASIqwNk8LMHVhcuSpk7UsDCOY/JTnikUG8RAaccxhbDCA2KfYw+666y6bbbbZ/PqP0Ip9BZetaZZs7Hes66Etruxf8T2AdEItfVE/BPY/6IGxY8d6d7gojznnjCuKiKSTT7lQR9fGRwArG6wiEZ5nHS3lUEzbeeed/e+WewIWOjAUoQP4XZD2t7/9zSvgwWxEoA7tDS0Qpx8oGwICKeiacI8CKjRAuI9esQSCHoFpDD0EwzfkQ5uSxnjwohOnK4qce+iTdwGBHJ57sH6FXoRGZFwI70K5tOtiiy1mKDNE83m/mSdp0GIo5aJQgEAexRYCcRSbsGCHLmZNoXyegAICNDR1YObqXQaJ5g6333674cEh7ywQzkYVafPWL1e+0t4drcu5AoE3tASfQQh5COARKvNJNfIpF/LCtVu3boZiF2dHzjIIOTijs+ciTOf8wR7MZyc4/4V6aVfeQRSM8Y5Ge59++qlvn3ePtS+tXkjPu3ezFnAW451EoIMnC9Zd1k7OeCeffLKxpoFB6CPpylkYZQmENgMGDDD4FwTipJFHmaS6ShMCQqB2BIqkNfbYYw+vFMN6AJ/HOec/8wCPC48SvNPQWRg9wP9KG30lOquoM1TR6zDzqeVck3UdZk2E9mJ9xMADOgtjG2g89h/2FvhijKdScM55Yxv4Z+xHKJGxvsOfgv950kknGZ6D6A++onP5FB8r9a98ISAEhEARCKiNjkFAAvSOwVm9ZEAA14kIfjmALrTQQgYDO6kawj+Eexwwl1lmGeNwnFQORhau2XGjCMGD21LqcOWedPIpl1S/0dMYN9bVaPnDZIDQg0EHMUlAaxJhNEw3LANgKjiXjehzzhmMRZ4BhChW02jKYp3knDOYpTA4+J4cjIMkrGAQImQIxCxtYTERDgww/3BhiZIETAYEs2jBYvHHPBBCRwPj4FtwPL+k/kiD4EXwDxOGfumfcZAXAvekk0+bWcYF1qF+lqtzzn8flGcTnUM0DqbMBwuGLG1Gy8Bo4pCGsJs5EPg9I+TGuilaNsQ5bNx4442WhC11YXIj6GI8MLajYw1xyqH1iwJEaDdcOwLX0JeuQkAITEeA/TDpvQ7vbdoVwRHr8PSWKsf4XAPCIdqEQZFWgzFhpQoznHWQ+2hZ7jtqzAgLsS5hzAiS2b+iY0mKs09hbT5u3DhvEUZdmGzsg+WY+c45QxGMubHHsE/SX7k9pNq+4uN2btq+jeUaewJj5so9+7lz2fb/eLu67zwE+O3gsYdnmSd8+eWXFleOcc4ZdCC/YQTntAcdwr6OwiJKLuV+pwEFxoSginHhUhxLqpAXv8KcRSDPWoGiJX1GA+8JdAkec76jK0pN0A99RMtniSfNHcE1N/McXwAAEABJREFUgiw8NvFJHSw6EbAh2AMT57K9GwjHoLdpA0tg5gY9xtmiNPCpEebN+QQXrATi0FdTs6r+T9+8y2CAgmbVDaliwyCABTLnFZ5pnoAyVPw3V2lSRe3d0X44V6DUnnRmYF54uCKfctF6Ic65gXMkZxn2V+pMnjzZ4AeQnnaeCfXDlfcQmgJBCh7UWGtQOuKsz3sTypW7Olfd3s25lveS8fMM2XOhrVAQZ20o12fIAwc8xXEWpg0CcdLIC+V0FQJCoHgEiqQ1oOfDmgDdgWIzV9a4IUOGeBqMMpVmwZjK0Vmsd9BPrBV5AmtT/NzHGsN6yxhZx6pdh6NzYo71PkPRB8J6lDihs/r27WsI4EmPjiVrnE95BhxYx8EVPMAMJU/ys7alckJACAgBIZALgaYpLAF60zyq1h8org/R/gtEC4RLuQCBN378eO8SsRw6aCBirQsRRHtcuSe9XL1mysOdEFYv8THDyMdSPZ6ueyEgBISAEBAC9UQAwTWM867IdEBYhvXJhAkTvMVqV8Sgnr8ttd25CCCUwhIbpUXnsgmfO3PEMFUR5sEIxQKd8wYM6mrG5Jwz3meY0HxaCOYtAvNpbemvEGh+BJpt70YBmE9C4KEMwTWfrnCuunVJe3fz/341AyHQCgg0G51VJOZah4tEU20JASEgBIRAUQgkC9CLal3tCAEh0CEIOOcMV/S4fIt2iAs8mAlY30XTFRcCQkAICAEhIATqhwBWeXwXlb3ZueqY+fUbnVoWAkKgFgSwdsVtNK5Ya2mnoepqMEJACJj2bv0IhIAQEAKdi4DW4c7FX70LASEgBITAjAi0pAB9xmkqRQi0PgK43hw2bJjhtj06W9zY9enTxzMEoumKCwEhIASEgBAQAsUjwDf0+MwGLhsXWGCB4jtQi0JACHQKAniy4nubuFG/6KKLDEv0ThmIOp0BASUIgVoR0N5dK4KqLwSEgBCoDQGtw7Xhp9pCQAgIASFQHwQkQK8PrrW0qrpCoGoEEKIfd9xxhpvKlVZaqdTOu+++a7179zbcvH/++eeldEWEgBAQAkJACAiB4hB46qmn7OSTT7bRo0fbyiuvXFzDakkICIFOR4D3euTIkXbXXXeZlGM6/XG00gA0l05GQHt3Jz8AdS8EhECXR0DrcJf/CQgAISAEhEDDIiABesM+mmYdmMbd2Qg456xXr142btw4e/nll22//fYzviX0zTff2LHHHmtzzTWX4er98ccfN1y8d/Z41b8QEAJCQAgIgVZBAKH5mDFjbLHFFmuVKWkeQkAIfIfAlltuaVig9+jR47sUXYSAEDBrfgy0dzf/M9QMhIAQaG4EtA439/PT6IWAEBACrYyABOit/HQ1t/wItFAN55wttdRSdskll9jHH3/sw0MPPWSXX365zTzzzDZ8+HA76qij7NBDD7VJkya10Mw1FSEgBISAEBACQkAICAEhIASEgBAQAhUQULYQEAJCQAgIASEgBISAEBACQiAFAQnQU4BRshBoRgTKjbl79+7Wt29f23nnnW3YsGF22WWX+TB06FBra2srV1V5QkAICAEhIASEgBAQAkJACAgBISAEhEADIaChCAEhIASEgBAQAkJACAgBIVA/BCRArx+2alkICIF8CKi0EBACQkAICAEhIASEgBAQAkJACAgBIdD6CGiGQkAICAEhIASEgBAQAkKgoRGQAL2hH48GJwSEQPMgoJEKASEgBISAEBACQkAICAEhIASEgBAQAq2PgGYoBISAEBACQkAICAEh0OoISIDe6k9Y8xMCQkAIZEFAZYSAEBACQkAICAEhIASEgBAQAkJACAiB1kdAMxQCQkAICAEhIASEgBCoiIAE6BUh6hoFvvnmG+vWrZsPX331lX355ZcKHYjB//73P489zwD8u8avTrMUAsUhoJaEgBAQAkJACAgBISAEhIAQEAJCQAgIgdZHQDMUAo2CwH//+1/Pz+XaKGPSOISAEBACQqA4BCRALw7Lpm5ppplmsv/85z8+jBs3zm/+CHMVpikV1BuHjz/+2GPPM5h55pmb+rekwQsBIZAbAVUQAkJACAgBISAEhIAQEAJCQAgIASEgBFofAc2whRD4/ve/7/m5XFtoWpqKEBACQkAIfIeABOjfAaHLdAS+/fbb6TeKCQEhIASEgBAoi4AyhYAQEAJCQAgIASEgBISAEBACQkAICIHWR0AzFAJCQAgIASHQdRCQAL3rPOuyM/3Xv/5lSy21lA+ffvqprbTSSgodiMHnn3/usecZvP/++2WflTKFgBAQAkKgQATUlBAQAkJACAgBISAEhIAQEAJCQAgIASHQ+ggUPMMJEyZ4fu7EiRMLblnNCQEhIASEQCMgIAF6IzyFBhjDT37yE3vllVd82GSTTeypp55S6EAM2traPPY8gx49ejTAL0JDEAJCQAgIgWZAQGMUAkJACAgBISAEhIAQEAJCQAgIASEgBDoegcUWW8zzcxdeeOEO6VydCAEhIASEQMciIAF6x+Kt3oSAEBACQkAICAEhIASmIaC/QkAICAEhIASEgBAQAkJACAgBISAEhEDrI6AZCgEhIASaDgEJ0JvukWnAQkAICAEhIASEgBAQAp2PgEYgBISAEBACQkAICAEhIASEgBAQAkJACLQ+ApqhEBACXREBCdBrfOpff/112RYq5ZetrEwhIASEgBAQAkJACAgBIVAPBNSmEBACQkAICAEhIASEgBAQAkJACAgBIdD6CGiGQkAIVIWABOhVwTa90ocffmjdu3e3OeaYIzF89dVXJiH6dLwUEwJCQAgIASEgBISAEBACtSKg+kJACAgBISAEhIAQEAJCQAgIASEgBIRA6yOgGXZNBKZMmWI//OEPE+WuQR77wQcfWD3/SYBeI7o9evQwHuRHH31kSYEH/L3vfa/GXlRdCAgBISAEhIAQEAJCQAgIgRZBQNMQAkJACAgBISAEhIAQEAJCQAgIASEgBFofAc2wSgQwXP73v/+dKHcNstif/exnVbaerZoE6NlwUikhIASEgBAQAkJACAgBISAEhIAQsMaE4IknnrDbbrutMQenUQkBISAEhIAQEAJCQAgIASEgBISAEGg6BLr2gCVA79rPX7NvcgS+/fZbmzBhgh199NG26KKLGt4OnHPmnLMf//jH1rt3b7viiivsn//8Z4fPlLFdfPHFNttss9n2229vfO6gwwfRiR2+8cYbHv+ZZ57ZPw/npj0X5/Jf+/bta5999lkhs/nvf/9rxxxzjP3oRz+yww47zNDiKqRhNSIEhEBDIMA7fd111/n1h33AOWdtbW12+OGH21tvvVXzGBFOsdfsvvvuNbcVGmC/GDdunG266aZ+73LO+f1sgw02sAcffLDmT+HQ/t/+9jcbMWKEHXDAAbbmmmvakCFDLOs/6rPXgm3WOlnL8Zmfm2++2T+vsF/w3Pr372+vvfZa1maMMT7yyCO24YYbljCkPTAFW/IzN6aCDYkAz5BnucMOO9jcc8/taQt+K9tss03u94TfFr8xXJ45N40uWWmlleymm24y6IQiAaCvAQMG2AILLODHzO9y3XXXzd3X+PHjbfbZZ/dtODdtzM61v2677ba27LLLVh5+rMT//vc/23///X3bt99+eyy3ulueV1Hv5OTJk+3AAw+0eeed14/ROWfLLLOMXX311aLjqns8DVfrk08+sfPOO8969uxpvCPOTXvGp556aiHnuHrs3fUeM+9Qnr27qP00y4+jqL7A8KSTTrJFFlmk9G63TaXZzj77bCMvy1hURggIgWIQYM0pgs4K7UCDQ6c55wo911jkH2cTaIHlllvO9+Gc87QSNEMR577nnnvOt1crP4o1c+LEiXbppZfaXnvtZauuuqqNHj06MpPs0QsuuKC0XjrXng50LvkeGvS9995L7KTeGCZ2qkQhIASEgBDoWARq7E0C9BoBVHUh0FkIvPLKK9arVy9bfPHFjUM2xPn5559vo0aN8gGi+c0337S9997bfvrTn9rBBx/coQdxCPZTTjnFPv30Uxs5cqRdc801nQVVp/QLI+TJJ5+0jz/+2DbZZJN2Y1hllVXs+uuv988pPK/o9fe//71ttdVWNtNMxS/RHArPPfdcz3D93e9+Z2PHjm03Nt0IASHQvAg8/fTTXni08847G+/6559/7ifz9ttve4Ex69LQoUOrFkgjxEFh65tvvvHtFvEHl0soWfXu3dvuvPNOC2Omj3vvvdfWWWcdO+igg6oS6sF8Zn/EndP8889v9913nxeSIZQfNGhQxeEHBhh77XrrrWd8sqdipRwF3n//fUNJAAEo82e/oM+XXnrJYDItscQSfn+H6VSuWTDbc889DcWAWWaZxdj7aQdG0U9+8hMvnEc4CIOoXDvKa1wEou/JjTfeWFJK5NmjgMF7st1223m3ZuVmwW/gyCOPNH5bw4cP9zRKKP/MM88YAujNN9/c/vWvf4Xkqq/RvmCYvvPOO74tBPQPPPCA7wsG6qRJk3x6uT/8ni+55JKK72C/fv28wlC5tpLy7rrrLrvsssuSsqpK47kU8U4ybxjjCy20kCHY51mzNn711Vd26KGHGkoQKD6gtFnVQFWp0xHgGd9xxx3GHnXEEUfYCy+8UNrvXn75ZTvxxBPtF7/4hfesQNlqBlz03s046jnmavbuovbTLPgW1Re0yMILL2ycy8455xxDkYeAAvoZZ5xh5OFVI8uYVEYICIHaECiKzoq2U/S5Jj7DcO5DqZmzA/QBZTivXHTRRZ5P+Mc//pGkqgIGHJz7aK+qBqZW4iyCEvess87qz6goJJ9wwgn22GOPGTTb1CK5/kOfohCdq9LUwigdooQ5Ndruf70xbNeZboSAEBACQqBpESheOpMPCpUWApkQgBEF0x+LGxhImSolFIJpd8MNN3gt77POOiuhROMnwUgHCyxsIPhggsJsQTsUyzoY8QTm9/ZUoQkHcASxaGpCOFKnI2aJ5TmWTaGvn//85yHapa4IM1BmiE56iy22MCzIeE5JAa1cmKQvvviiZ5pF69Yan3POOb1XANrBwqV79+5EFYSAEGhyBJ566ilbf/31veB16aWXNoQ3rDWsQWFqMFYGDhzordxggIf0LFf2T5Si/vKXv2QpnqkMTBCEfmPGjLHTTz/de1TB2gyrTQTWoREEZ3ksxhkrzGiUx2D8rL766sZ++Ic//MEzb7CgD20nXcGG9RfhHoLteuybzH2XXXYxBIlY58JAD89qwQUX9Na5PEfGj1UiY0oaK3PFmwjCUDBjjtBKlGW9RyELCxgEmAjcKE+eQvMgwG+F9wRFO54t8d12282wponOAiYpeZSPpoc4z57fADQkSpUwW3nfnn/+edt1111DMbvnnnu8xwoEOaXEnJHQV/hdsxaxJvGbjjaF0J51i/czmh6Po1DC/GB+ImhMCksttZTts88+3iopXr/cPX0juGR9LFcuax5zL+qdZM4IyVkbbr31Vq8M45yz7/pvxK0AABAASURBVH//+36uF154oSFk3Xjjjf0al3WMnVxO3UcQ4BnzfiCoWHnllf1zRSGGZxyKffHFF7blllsaZUNa1iu/x6L3bsZRjzEz1mr2bta8IvbTLJgW1Rc029Zbb+2VnlCq5vlCmxA22mgjr3yOII53m7JZxqYyQkAIVIcA7zX0U610Vmin6HNN0qxYF6CfEExjrPLuu+8a4aqrrirxj1hToe/+/Oc/JzVRNo1zB0J4lI/LFkzJhH97yCGHGDxAznDwt1A+4kyDlw3nXErN8skoFTF39kj2Iei+tLDHHnt4QyJaRDm0W7duREuBduqJYakjRYSAEBACQqDpEZip6WfQqRNQ5/VGACIQ4SPCWJj+1boBx4X5aaedZlhi7bjjjl7AUO+x16N9CFmITrCA0denTx976KGHDJdNSf398Ic/tF//+tfe0hkiEzwhEiEWk8oXmYbggkMITFpcgmLVVGT7aW1xcKnmkJDWXhHpMLxxmZ63LRjN/fv3z1utbPkllljCbrnlFu+RgAMRwqGyFZQpBIRAwyPAHoeVNhbmaPbj6pjPd4wePdpbkl577bX+sw1hIihWIXQJ91muuH+lzSxls5ZBMI4lJS6ejz32WP8pknnmmcfY2+6++277zW9+U2oKK8x//OMfpfu0CMwZmM9HHXWUFzIhdEIhab755kur0i4d7y477bSTgVG7jAJv2Mtx2YrwHJfMjPX//u//2vXAvnH88cf7ND67cf/99/t4/A/P5PLLL/cufwcPHuzdt0fLQAeALQpTlKN8NF/xxkaA3wpCaBiGCK0QeGOBjqLEpEmTvPC0Z8+epUnwm0rz+IMC6qOPPuotXIcNG+ZdgPO+Lb/88kZ7KJiicElj0Amvv/460aoCY4SJC9MUzwqsRfz2WJugRWFkhobpB6EZcw1p8SvWRgiRURjFkj0psKYxl3jdcvcwl1HeYQzlyuXJY568a7xztbyTzGfAgAEGvY/iwy9/+csZhsGZBg8ZjJ89AKv/GQopoWAEimsOzwGck7DCw0oPzzF4QmC95zzDPhTeSX4H7AkffPBBrgEUvXfXa8zV7t2sG0Xtp5WALaqvv//9717JEatOhHYIyeN9r7XWWkYeZVA+ok68jO6FgBCoHQHe66LorHqca5JmiMIVCrbQBvD14LNxziEgNMawhjWEuihgQeMRzxNQHmYPylMnlH311VdtxRVXNLxjovDIGInD0w1lqrmi2MlcoH04E0JbsmemBc5X7J3du3e31VZbrV2XHYFhuw51IwSEgBAQAk2NgAToTf34ahx8g1aHiIWBgKAXl3VoPkL4VDNcmPJY6SDMxVVQszOWYJ7CSAcLCEGsiHr06MFt2YBWOwoEFOIgjpY+Fjfc1zNgDQSTFg17NOrr2Rdt89vh9wLjiftWCLh///LLL+0///lPIdNxztkaa6xhPBeuzlWn/VvIYNSIEBAChSCAMgxCKpSWFl100XZtsvYiEMZVaFDkYR9AsaldwTI37BdYsOH2PLRRpnimLD7zEYR9SfsY44ZpjNIPDSJ0++tf/0o0NcDYZ12j3e5TmSXggqDOuezrHFbbCOuwCEPxIGlsqQPImIFgDAYQxRGctLW1EZ0hwPxi/tBAKM/FaRgEKdABVKRsVJBKWgikk8895alHXKHxEUBIft1119mVV17pLVB5L6Kjhs4aO3asVzoJ6fx+Eb6Fe67cI9jld7fkkkuS1C4454x3BS8GZGD5SN/E8wb6wusRawYKnyhwRtuAwcv6A5M3pMMETeuPd593kU8SwYgNdYq4IlzkzIH1UhHt8W7xjtEW7xzvHvF4IJ180ilPPeIhQM/ixhkGMWsZ3opCXvSKYjA0PWm4in344YeJKjQJAryrKL7xfqM0FR02yk8oQfP+OzdtD8MDDIrT0XLl4ol7d7kKGfLqMeZa9u6i9tMMU/cKS6yhlK1l78ZalHE75wzXy3EFOtonjTznnO+XOqQrCAEhUCwC0B6ss6zD8MyqpbPqca5Jmymf0OAzjscdd5xXFo6XwwskwmPnpu0dKAdjER4vl3YPHUfb0Bco+qaVS0p//PHHDQ9e7FecSTl/8qmZpLJ502gTZavf/va3JY+K5dp49tlnvZcPlCvjZ616Y1huXMoTAkJACAiB5kNAAvTme2YtO2KsQLB+gdDCKhbGd7nJpuXh4hxCDTd4MJ7TLHHS6jdqOswFrBRgpDNGDtUw4IhXCs45g1GJRTNlsVQ58sgjS9/YI60VAoJzrDNaYS5hDrwPHOZgpIQ0XYWAEBACAQGUaxAu8X25tra2kDzDlT0x6tECS1A0+WcoGEtgbz755JMNK8etttoqllv9LW6jsZiMu6GOtohA4Ve/+lU0KTWOoAArLvY3LPZwXQ4DJ7VCSsbPfvYzC8wzBBhYkaYUrToZ4fyUKVN8/bXXXjvV5XR0/vfee6//XqCv9N0f9jyYSdyiOMB4iccD6eSTTnmElcQVGh8BnjtCcoTbaaNFiIqXAeemMUp5F/BKES2PNRCu/FkHounRePR3Ek3PG8dqCc8SuOt0btqY4m0gVGfNQjhMHgLkNAUZvEhQBkUgrkUFmOZ8X5rAt4aLaLeodxJGPJ4zGBOfXyq3TrI28+wQumPhxZ5APYXGRgDlCBQ4UPDmHU4bLe8+SuUhn08vhHi5az327nqMmfUqz94dn3NR+2m83aT7IvpC2TEI4XFtzPud1Bdp5FGGeFCoIa4gBIRAcQgURWcVfa5JmyG8TgTi8LygpdLKRdePtDJJ6dASGKRwxRNoOBMllY2nYWmO8QdnHOi7oHAVL1ftPUYleDbifFSpDc64eFOiHJ7JfvzjHxP1od4Y+k70RwgIASEgBFoKAQnQW+pxNvdksJpAYxEXkxz6cf1YzYwQCmCpjYUtDDws0erBAK9mbJE6uaIQsFjz4N6PilgA8j0j55IZk5SJBwhN6oR0GHNYLYX7Zr/CgIHIDwoGzT6fMH4OH2gQcw1pugoBISAEAgK4dEZggqJNSEu6OucsyoSHEU69pLLRNPZTBGJYIhS5lzJeBAPRvuJx55wF5SEsLfBKEy/DPW74sCBFeM79vvvua3wXj3ijBXAPAmy+W1hOcOecsxVWWMFPAToAYYu/mfqHZ4fFzNSo/5/k3tlnfPcnmk871P8uS5cGRQDmH3QatA0C0nLDXHbZZUvfvPzkk08MIU20PIqp+++/fzQpMR4YpXhe4J1LLFQhEQtZvEdAd5YrisIPVkGUYa7xMZOO22JcoqJEyvsPQ5i1CIUAGKCUqSZwzhg8eLB36VlpHcraPu9UUe8kSsRYWdE3z4G1gnhSABdc8ZP35JNPGsJ34gqNjQDKTLwDq6++etmB8u4HbwUUnDx5MpeKoR57d9FjrnXvLmo/rQjm1AIF9WV8ZowwtUlD0X/22WcnmhjIowyZrHkI6IgrCAEhUAwC0B5F0VlFnmvKzQ46DQ8/ePOpVI6ylEHRjs/gEK8UEIKjhMxntMopd8XbYW/CwAfhOXkI+MspbVImb+BMFD3PlKvPp34ee+wx/4mroEQcyoNLPTEM/egqBISAEBACrYOABOit8yybfibrrruudyuNa0kY5hA6PTK4J49PHGYcwmaYhWhlQmSlfSM8XrdR77GSwd1lGB8WeYsttli4zXwFY4TvVEDQjKsqDg7c5wuNVRrhOdquQXjSWKPTaISAEBAC9UOge/fudtZZZxmW05V6wQ1f2ANgpLDXlquD0ArLVgRN5Swgy7VRSx4CNawsaANrVpjJxOMBgTQCJ9IRJGHZWmlulO2MgABiwoQJvuu55prLKtE50ES+8NQ/TzzxREkwiuIErgmnJhvCtWClxn1SIJ9y5FGP+sQVGhsBXKCvueaaFQcJkxNhHAW7detm4T3nPmuAHkRZhvLbb7+9LbjggkRzBz7bk8VaHGugsK445wxBYbwzPErh6jikE4epi1U+7zoW1/FPG4Sy5a433nijIWxGGM9ZoVzZrHm8U7xblOdd450jnhbIpxz51KM+cZ5DWM+4Z65c0wI4hmeF633aSiur9MZBgGd2+umnJ/7u46OM/gZ41+P58ft67d1Fj7nWvbuo/TSOX9J9UX2hYIRCHH2wZkOLEU8K5FGGPOpQl3jnBfUsBFoPgY6ks7Kea4pAeeLEiQZdwacss9Bk9In3okMPPdT2228/y+N2nfXp0ksvNdZJ2qEu3i+Jd1ZAEQBFRPjAQREp71iqwTBvHyovBISAEBACzYGABOjN8Zy65ChhpBVh7QZjjANoM4PI9xmjri1RCghMtzzzWmihhSzKhHn00UeNb0vSBt/GpF3nnHcn65zzQhnyQqAMGqxobTo3rRzMz2AZH8qFK8Q0wo8BAwYYrudCevRKGRQEYIii9BDa4op7XxiDzjlD8IPrvLjFEUxGCGOYqqFdvhno3LTx8eyDpn/It6kRGK4oJWy44YYeEyylZpttNmMMWOfH+5lapUP/45IZoVhap4zvzjvvNCxXwvPgfcFFK5in1SOdunh7gEE+ZswYkhID1lS4TsXFMBjyrGBmI9Bxzlnfvn2N5xStDNPu6KOPNp7JIoss4pn4/EawoEMzOVpWcSEgBGpHgO/coVSVtyUsnxG0pdXDQhPh+TrrrGNFWWim9ZWWDrMYYRACcQToSeVw/YwQIuThZp65hftGu7JXISBjXPPPP7+xRxFPC+xNQRj65ptvGswgyhJn7sRRLKAc8bRAPuXIpx71iSs0LgIogUBzQQ/nGSVKGShn5KlD2RdeeMHuvvtu22abbQylGeccybkD6xHrUp6K/Dah86J1+F4nVlDRtGj8ww8/tEMOOcSwvs9jmQmdctJJJ9lpp51m0CfRNmuJ807xbtEG8+GdI54WyKcc+dSjPnGst7A2JU7gUz5c0wJrSBQ7zgxpZZXeOAjwzKCn844ofI4rrV499+4ix8xvvta9u6j9NA3LaHoRfXGuiq5Vld5t+o+WoS5tkK5QBQKqIgRiCHQ0nZXlXBMbYlW3nDOGDx/ura+5Vto36AQ+z+9+9zuD94YA3bnsNCDrIwZMtEPYbbfdbM455yTaKYH5w8Oic7yvBVqL+6yBNsAO/hrXLBhmbVvlhIAQEAJCoPkQkAC9+Z6ZRtwFEUDYGZ02DNXofdY4QvcosxCtVDQrqY9wAk3Nfv36cZsYKANjbuzYsZ4gTyw0NRGmyNlnn+0tIiE20UjFpejUrNJ/rGT47h/up7BowAoIYSyW8XfccYehKXrhhRcaDFQqMVa0Z8877zyDwCeNsN5669m//vUvO/PMM7n1gThlCNTH3ZPP+O4PjEkYvAh6GScCZ9yEIqhhXDCPcXUKE+q7Kh1+Aee0ThGgbLDBBnbAAQfYdtttZ1hSgQtMdoTqMJM5xDD/0AbxSZMmGYIofgerrbaajRw50vjMQSjDlTnj7grhOkxZfg9hLLiDBO+gXcxnF3AFHOrBjMYzAkI56sCk/vTTTw0FCr6lxbj4jVFeQQgBJSybAAAQAElEQVQIgY5HgHX0iy++8EpSG2+8cdkBoDAFQ+TEE080FNHKFq5DJus0Qrzf/va3XpkrbQwwo8Ka5Jwz1iz2EZR+EJLhzp3PYNx///3WCIxnMA1wscbCvAv3SVeE56yp5GG5EpTp2LtZ10mH2ZWGD/kE8ilHnHrUJ67QGgiw1wbX3bh7zsu4hK444ogjPF1x9dVXWxYr11qRw30zHoRoB2ulYGnJPYH3g/cWOoVy11xzjf8MxUwzzUR2KfBbhjZ55plnSmlpEZQnDzvsMN9O0Z95YBy8W/TNu8Y7RzwtkE858qlHfeIoBvA8iDuXbJlPXjREnxftNMJaFx2f4rUhwDmFFrp37+4/O0A8LXT23h3GVWnMRezdRe2nYczlrkX0xZrHWSz0w/MM8bRrtAx1aSOtrNJbGwHNrnMRqJXOynquqXWW0BMjRowwvFaNHTvW8NKYpU3oLZQWzznnnNw0IEYpU6ZM8d2gQInyNTwlDC84g3EW40wGnUa6L1jHP/AimT9nrI022ih3T9VimLsjVRACQkAICIGmQaA9B6Jphq2BCoGugwAC4MCECLOGMA3xPFeISFxGhjoQhy+++GK49UISLLBLCSkRLIt7pLjX53CPNfn48eNLwu+kZhDiwsSEwEdAQBkso3HHiWAbQhzNTxinl112mQWG6RlnnGFRJgb18gRcU/F9JgQuKARgKR3qMy++h8T95ZdfbliiE+/oAIYIwpP6RVlgl1128Vk8O6yvEPgPGjTIULTATRfCI9xvcRDyBaf+wbKM5wIT+ssvv5yakvwfjwQEvqnJ7yOUwtUp3yG95ZZb2lmjBqYtQnwUIvh98S1ihPnUxToeQT9KH1OmTMFazCs8kKcgBIRAxyLAe0yPfJNulVVWIZoYWGNZL1hvUXJKLFSnRPYB3LqyF7HG4XnktddeS+yNPYK9ImSy/rDW4W1lxRVXNNZz1nKYQQjY2DtRLqKPUKcjr6yp7EGhT9brIBwPafErzPOokC0oo0Xbwdq4UjvkUy60H60f0nRtXgQQmqIgg6XMzjvv7JVkssyG3yTrAt5sYLSiwAjTkfQs9Wspg+JieLf32GOPVFfWCJqhSaB98JrDO4CVFF6DQv//+Mc/vPC/0u/6D3/4g2HpjdImNHGoX8Q12jfvGu9cuXbJp1woE+ojIEPQTzq0VBbLKSyDKU8An45gUNOXQv0RYJ8Ln1bAaxYKxmm9dubeHR1TpTGTX+vezRoV3hn6rmU/pX65UFRfKLZwjgt9QbOEeNo1Woa6tJFWVulCoIERaPqhVUtncebIeq6pFST4hkceeaT179/f4HWheAhNUKld6DGUKAl4pKxUPpqPcm+Ub8UZDKML1mQE6ZzBOItxJkNZEnoFWpN1NdpOkXGUqOF5YdhRbs9M6rNaDJPaUpoQEAJCQAi0DgISoLfOs9RMWhQBmGhYZofpIWzG7WO4z3uFaI3WQVgbva81jgXR0KFDDQsmBNRp7cEQRZiBkANrcMphWffcc88ZruURdiB8pdzee+9tuIKiDEJYLKSJVxNoH+1X6gYLH+Ih4CoPjLmPCqC5LyogFIJxlBRQHlh++eU9gzfeHwcNtHfB59RTT51BOxj3/FiOUw8hOlbp/H6479mzp6GIgMLChhtuSFJi4NCzww47GK6bg+U+FqtYkKOVjCtnDkWMHTfzWHDBzEHIRYP0h4Y28RAQsi+++OL+FmWQon9zvuEO+6OOhEBzIgCD49577/WD5/MYvJf+JvYH4Q3KTVgsVLJSj1Wt6ZZ1hLVlmWWWsS233NICwwfhHp5MWM9YA6OdwDxnTQ9p7CF4vsDiAQY95d955x3vBYMyrE8HH3ywMf/OEDDBlGGMjKXa8Prrr/uqQfDob6r4U2v9KrpUlToigOt1fvPsydBVlbri9w8tteqqqxrKNDCGqQPDFYYnim+UIa1eAUE9dBgMVWi+rP1gmY6SIBb3fLIh1EPIGGiRkBa9slbg1aJeikG1vlOhPpiwVkXHnifOmsc6nqeOyjYuAjxP3lWUY3gv0xQ/eOadsXcnIVdpzEXs3UXup0lziKYV1RdWkdBi0bbzxKlLG3nqqKwQEAJFIGD+Ezd56KxqzjXVjpR1AU+AKOVxXqIdeEEYpvBZq8D7Ij0emBP8pZ/97GeG6/Z4fqV71vtAv1AWRWaUBrC4ZwwElLvgIZGPl53NNtvMhgwZ0s6rJHlFBM5+4bwLPYsgP0u7tWCYpX2VEQJCQAgIgeZGQAL05n5+Gn0XQAAGJkyRek0VbfZ6tR0X1if145wzBOU29R+Ca6weEaxPvS39d87ZuuuuW7qHSVq6yRmB8YpQnmrxfkiLBhQXOPxE04qIX3fddbbtttsmBlzKB8FRvC8OH1hPYTWfpE3rnPNuSUM9BO0IrMM9VyyeshwkwAisqEPAujy4/+d5bb311oZLfayjYOYFSzDu6YM6SYHfMgenpDyldQAC6qLLIoC7VDTyEVTh5jwNCD65gZC3HhaaaX2SjnXGPffcY3369LG11lqr5HWEPAIuABGwEw9h8uTJhrAp3LN/oOwDs4h1ivT555/fSMNi1blp3/NDmQiBI/kKQqDZEcBrDJ9kwVvBMccc470JVZoTwmvoCT6tgtCdPT9aB48zfD4BRmQ0vag4tAAWSXgXOv7446v6ViY03JVXXmkwSMO4UO6j7XAfrqShoMja15GKQaF/XYVAtQiMGjXK73N77rmnV3ZJa6ez9u6k8VQas/buJNSUJgSEQKMiUA2dVc25ppr5Q99AsyHI3nHHHS0YLYS28NCz00472dtvvx2S2l3vuusuY6xnnXWWBY9X7QpUuKHfYDzhnDOs3vn8F94znHPeIxJGHtBnAwcOLLWGwP/5558v3RcVwZr+gQce8P1mpfdqxbCosasdISAEhIAQaFwEJEBv3GejkQkBIRBBIAhoSUKpgGs1AbfAuBtH0IKLq3JtYHGAVm65MtXknXnmmV7jFsZ0PCAMwn1WUru4x8ICn0NImktPhNy4x6c+luNYkxGvJaDYgGV+WhsI0GG0c1gC2wUXXDCtqJ93LZZVqQ0ro0sgoElWhwCMgWHDhnmvFeUYJE899ZSde+65hrC5o12377DDDt5LBsJtLMixtNp///1LE8aCATeAUaUvyoT1hHUPRolzrlQnRJxz3r0zn7sgjbYQNtRDQYr2FYRARyKAUh6eFxBEZ3W9ucYaa5TeNxinvFdYZiPQDmNnzZg0aVK4LfSKddAjjzxifBeT97baxvGkwXqF8gBtgAN0EvEQoLNQosG6CAt0aJaQp6sQaGQEENrg/Qml2XJKbZ25d8fxyzJm7d1x1HQvBIRAIyNQDZ1VzbmmGgwQemNBzvnpiiuuMHg/GF307Nmz1Bzeq6666qrSfYggVEe5kPpZ6cdQN1z5fFCIwwPq27dvuG13RVETOhWvQ2RAqyWNibx4yHP/0ksvGRbxfPoHJdEsdWvBMEv7KiMEhIAQEALNj4AE6M3/DDWDFkcAgg4CMEwTRiDM/3Cf94pLpWiduJZqNK8V4845wwIJK62ohTVC+dtvv90Q2CB47qy54z6Lb0RtsMEG7YaAoAdmM4m4x3fOec1a59pfe/bsaUELmLIcjLjWO/To0cNgTK+22mrtuoKRdvjhhxvWKO0ydCMEuh4CnTZjhMW4gIURn8YgQYDGpxv4DETU40dnDRqlqQsvvNAQ+IcxYEEPYyTcIzxnT+QepaJynzeBcbPLLrtQ1Idnn33Wokwfn1jnP+znKDnV0k1QZkKRqpZ2utreXwtWjVwXt+Qo5e2zzz52yCGHVD1UvMf8+te/NizZgxAdTxSPP/541W2mVcT6FGHg2muvbYy9VoE2n3iArqM/BHMIyomHgNcilPxQDiq3RoTy1V6Leiex2kJxsdpxcGZgram2vuo1BgIo8KLsi/Ug3iLSlNoaae/OOuYi9m5+40Xtp5WeeFF98W5n8QKWNh7oHM6JaflKFwJCoHgEiqKzspxriho99MjYsWPbeejBEAMaKfQB7+v000+3RRZZxHbfffeQnPuKIDxUwutXlL8W0sN1zjnnNLwYhnu8IUXHFNJrud52223eYANvZqy51baVBcOMbauYEBACQkAItAACEqC3wEPUFFobAZj+ENxhljAdsFIO93mvaGRG60DIRu+7Wpzv8KF5CwOWbzWdeuqplsa45KABYxbX7mmB9oJAp1osYWRjHRatD4MMjWLSYDjTR5aAQIw6HRlQ0sCClO+qDhgwwB+U+KZxR45BfQkBITANASzTYJAQot8LnpY77S9rCUJ2Pq/AmuGcm5bR7m/H3zg3zXJ8zTXX9J3DnK9FKWiZZZYxlH1oDKFERwvQ6TcqBMni5YQ9/6uvvqKqV5oK9EC8HfYnXyjlD/n0F7K7+t4fcGjmK3QBnnRWWGEFwzsD9GKt88Gde//+/UvNxD8DU8qoMsLvECVB6AQspbAgr7KpUjXnnOFdqJQQiYARa1pHKAYV9U4iJAvvOe8+a0BkSonR6Kd/qFvEbyGxIyV2GAK33nqroTCL4tvKK6+c2G+j7d1Zxpw4kQqJaXt3/J2DRijXFO8S7xRlnHPGu0I8Syiir27dullUiSf63qaNIVqG9ZI20soqXQgIgWIRgIYoks5yrthzTbnZsl6ghBz4WigvRoXVCJr5dBZ8JXhP5doqMg9ji6A4GR9Trf1wtsN9O+1gjOJcbefZShjST+sHzVAICAEhIARAQAJ0UFAQAg2MAAdlrIqjQ8QNU/Q+axw3vlHhA8QrguOs9VupHAyJgw8+2BZaaCHDvROurvjGbjnLgBdffNGXR5s1LaBVGxVSVIsZLk2XW265UnWYzl9++aW/xyrMRxrsD4w8BOdYNg4dOtRwd4a286qrrmr81hpsuBqOEGh5BFC2GjhwoLdMPeyww7wANmnSuGnGffOmm25qeLrgO3VJ4f7777fAfH7rrbcsWqZe6xKWX1jXhnHDbAlx1uHAGAppqdepGQimAhMcRnuUkTQ1u0P+Y9EQOoLRg3eRcJ90ZYzsV+Qx/nnnnZeoYXkX1lW+91epHfIpR2XnnC288MJEFZoUAWgCLKp5H0eMGOE/z1DEVPhN7bHHHqU9O/q+1do+NAICwUcffdQQtPEbrrXNUJ+1gDgCMd4T4oRLLrnEUAJAAHfzzTe3W7Oi6xf0HeUJf/rTn0rl7r77bkPoRnqlwHzAj3K8a7xzxNMC+ZQj37np7yTjz7tORZ8T7zZnB9pVaE4EOJPgKQsvLGmKb8wMTyqNsndnHTPj5n0tYu8uaj9lTJVCEX3xqRnWidBX9L0NafFrtExbW1tV3yiOt6l7ISAEKiNQLzqr3Lmm8qjylVh++eVto4028pU4S3Cm4AYPgb/+9a9tvfXWMwxIovRQNH7HHXcY9ajDmZJP/oR86pEeXRu5rxRY/wO/jbbDmCrVy5KPscmECRMMZek0xbMs7UTLpGEYLaN4AyOgoQkBISAECkJAs5bulgAAEABJREFUAvSCgFQzQqCeCKy11lrtBB+4sYURmbdPGHVRC/TFFlvM+K5e3naavTzuomAw3nXXXfbkk08abn0bzVoHpYlw4AFv3LIHJu7EiRMNxivpjRIYG+7vcf0Mnhyu+A5Wo4xP4xACXQ0BrCZ4FxEc4S653BqH+z0C7mK33XZbSwswWxA8gyVCsGg5GPmk1yOwVwXriCBYoh9cmSJsIg4Dhj2OeFoAg3KuBdPqFZnOnhsEB1j8V1rLmRfrK2NA4atHjx5EjfU1CNNRjuP5+YyUP+RTjmxwoy3iCs2HAPQfLsnZZ6+55hrPKCxyFghp+I3QZvR9476W8Mc//tGOP/54wx31kksuWUtTqXXnmGOOdlalCM/xGIQSTnS9isdR+AuNnn322aU1EC86vDshr9y1qHeye/fuxrod+qrkKYM1BGWcUL5Xr14hqmsTIvD222/bNttsY3vvvbfhVte5dAs6fhv8Pjt7784zZh4J60sRe3dR+yljqhSK6AsFm5VWWqnUVRbFw2gZzobdunUr1VdECAiB+iBQbzor7VxT9GxYc371q1/5ZqMKhpyX2D+uvPLKEr0Tp4u433fffY09hgbgIe66666l8liwk865JJzREMxXMiSh7Mwzz0zVwgNKj5xTsXLnczZFdJCGYRFtqw0hUAkB5QsBIdA4CEiA3jjPQiMRAqkI4J6TEAogqIDwDfdZr+PHjze0R0N5COOgARrSWv3Kd6yw7sbVOi5P8zBxeQYcCjhUpYWxY8fWxToAhioayzyfF154wWAIE2+EwEFl0KBBhgtoXM8fccQRhqCqEcamMQiBrogAVhO4HEQQhjeIZn8f+Sazc85bxUatt1gX+XYfzxglI5hBxLMEhNhYQWQpW2QZBNfBWoP9GCF6ufZRmGK/oQyfxQhCBwQQK664IsmGkD3KZPeJsT/kU45kmGkdPHe6VSgIAQTR1157rd1+++3eE0FBzZaa+d73vmcEEsJvlXgtgU9JYFGLFXhRVkHR8bz00kv+lrY76/MERb2TzjlDGdFPaOofLHunXlL/oxgzadIkn48CAe+3v9GfpkMAxTcE57vttpsdfvjh7ZSnG3Uy1Yy5qL27qP00C7ZF9YVgB4EMfbK/owBDPCmQRxnynHOGQj1xBSEgBOqLQL3prLRzTT1mFeg5FCLDGaLIfjhPhE9TcKbhbJO1ffiQ1M9avlw5zjj33nuvL4JlfVhnfUKNf+qNYY3DU3Uh0KgIaFxCoKUQmKmlZqPJCIEWRQBid6+99irNDg1QBMGlhAwRGPCBqKQ4BCsCdOJdJYDBsGHDvCYtxDqM1maZO8LzoEmLIATX6JXGjhANt/QI3CuVrSWf9nHLShvrr79+XRQIaFtBCAiBygjw3h9yyCGGi/XzzjvP0PRPq8WaiAvoX/7yl0a8UnjmmWcMwTPtweCPlt9ss81IrkuAKYIVNhYbWIGFTlgXo546om6YQ5noFWY0zB3SUC6ICuNJ64jAfr7JJpv4rj766CMLgi+fkPDn6aef9qkwgrbbbjsf5w/3WCkS5zlUmjv5lKP8TjvtZLJiA4msoXHKwdQ99NBD7fLLL7egPJI2Ot7t8MzTyiSlY22EULYoYSzrBm6ocTXNJ12S+gxprF9ff/11uM10ZW3g0xMwpPltO+dK9bB2B4NK4cwzzyzVwaoqlMeydp555inllYsU+U6CU/AwgRU9yptpfUMTYvVFPgK2RRddlKhCkyGAIHqHHXbw3kVQRA0M+6Rp8I7wrrDvht9quSvvYD327mrGzHyK2ruL2k8ZU6VQVF98NgyFbPrD3TAYEk8K5FGGPOoQiCsIASFQPwQ6gs5KO9fUY1bQCLQbVcJlLYGuKLdvkIdicuA/rbnmmoayMumEo48+mmYNnhq0BzfkQzcRTwtTpkwxaEzy8bbD2kq81sBayVkH2hWDjlrbi9ZPwjCar7gQEAKtiIDmJATaIyABens8dCcEGhaBHXfc0fr06ePHB9HKd/FgGvqEDH9gwN14442lklgnVrIsgkFTqhCJ0C+M2UhSU0SxOscKisHCmCIQb4bAd/MQcoWx4r61nOCF3whlOKQsvfTSoVpdrjDmvvjiC992M2HqB6w/QqCFEAjv/euvv26s9z/5yU/Kzu7+++/37pTLFurkTOZ03333eQH/wQcfbCh/RYeEMBprNtJw3ReYMtzHA9/aQ2hNOsyezrJURfAdxsz3lhlPUsAtM58cIW+dddYxGF7EQ2AOQaHg8ccfN7yBhLzoFcWBBx54wCdRPmrd6hP1pykQgH7hMwojR460SgqAeCmiLM/ecs5u3LhxxnuCq05+LzmrtysOIxUFUJR5EKK3y4zdQFtipc7vniwEhMyDK/dpgXeINYJ++vbtm1asQ9KLeidR8OnXr58fMxboH3zwgY8n/eFTRDCtnXPe7TeC/KRySmtcBPiNcy5DaSKL15jhw4fbgw8+2KkTqnXMRe3dRe2nWcAsoi/oMj6vQ3/vvPOOQa8RTwp41kAZkjzc+RclaKI9BSEgBGZEoCPorErnmhlHVX0KvC9oJM5O++23X/UNlanpnLPtt9++5DHllltu8We2tCqMifMY+ShBF6XQO2bMGIM/yWcyoKFov4jAeOuNYRHjVBtCQAgIgXYI6KZwBCRALxxSNSgE6oMAB+5zzz3XAtMdC2SsZLL0BpMDhkxgSsKIh4h2brqVTmgnarmCxXpcGIFQHcFMcM/EPSHU76xrwIX+48yIIFQAhzAfrHWwnKZ8NLz66qsWhMHR9EaIwzwJFiRvvvmmcehgvPGxwYQ+9dRTDQbbcccd590ex8sUeY+QPrT30EMPGf2He64cPJLGSZ6CEBACxSAAQ2bIkCH+vb/iiisMDfxyLfNO8t3UeghTGQsWoVjCc+U+PhbWCYRejKPcHoLyF9/owx1fYDpH20JBiLWRNPqCyUE8KSCMZu+CkbT//vuXmD1JZatNo33W3QMOOMAYT9Lco2PG0iVNOIZyEvhgWYs737g3AVxGY43MWBGQY31BPB7eeOMNQ8BOOuWpR1yheRDgt4AAOosVN1ZFCOMQsoffDO8Y7wbtQAulzRyBNbQmgnOsYJ2bkU6cPHmy8Ru/7LLLZtjvo+0iPN98881t5513NrwnODdjW6E8YzrrrLP898v5fUI38IkC4tC/fHKHNSOUD1f6OPDAAw3vN5Sp9+cqJkyYYKxrBNamMI5wZby8Y9zX8k4654w1irWKNeWuu+6iyRkCmMCsJgOBJBZixBWaBwF++/yeEJSiaBLe2bQZoPjGvtG7d++0IlWns1+xbzEertwnNVbEmKP7IH2xPiX1RVq5vTvaDrhUu5/ynrGudcTezXrIuDmf3nDDDYnCJrAfPXq0z6MsdcBCQQgIgfogAH1UC53FflzEuYbZVaKz+JQfSsNp6x1tEEaNGmXPP/+8oVDJOkJaPQK0BzQIbbNuofhHPCkwbtY+xhNf17Ksw0ltwt8bO3asz0KRsdI+SsFGw5AxKQgBISAEhMA0BBrxrwTojfhUNCYhkIIAzFAIYYTFHKz33HNPQ4hOPKWKweQ4/fTTvbtPyiA85xuUMCS5jwesnLGAIP3hhx82GJMwMrFievTRR23DDTc0hLe9evWiiOHSCBeZEPD05RO/+wPD9ruoReMhLc813na87sILL1wShiDEDdbZuHKCEQRDGc19XEVRF8yYG4eKL7/80hCmc2iCeTXzzDNTxGCUQsjDUEbg7hOr+BPcdIWqYBbiea581/Kkk04qVUFYghcBLK4uuugi45uoKEbglhjrcwToxEsVpkaYN4eWqVH/vxKuFKLON998QzQxYBXp3DTGONq/COXAm98NgjxchnGwCZXR7mYMWE3xuwrpugoBIVA9AjCO+WQDaxbeSnC5lxZwt8fagYY+ofpek2vybiPwPv/88/03O2H4x0tefPHFXujFOBCUJX2WhHV8jz32sL59+xp7H25f4+0452zw4MHG3sZaxXqPUC1ejvUIRTKE0ZdcconBuImXid/DDMOaIZ6edk/5ffbZx1gDmR9MHJ5LvLxzzhBOLrHEEsY6joIAY4+Ww3Ur7ZCO0DRN0QGlArBGkYn9K76mc086+YwNK91oP4o3PgL8nnFNDi1y2GGHWdp7HdKhdaDfWAfC7FCI5B7LHFy/w8DktxXyuWJ1jtAWxiNMYL6XSXo08LvECpPfJvQGFuPxdihPOX5r48ePNz6dAy0Sxpd0ZcwIwAMDFhoh0A28V6xtMGih6egP2mHEiBEGXbThVLr0pptusjS6lvEUEcAfOpF1jcC3jKFn4m3H3klPh0fLZH0nWaNgelMXmo71kHg0cAbg2aL8esEFF5T9ZEe0nuKNgQC/ZZ7tpZde6s8huPdOej9C2txzz22s97inrcfvPcveXdSYnStm73au9v2UNYb9kXWtI/ZuniN9QY9cddVVlrSOkEYeZ35oBOo0xq9WoxACrYdAEXQWawfKfLWea6CfytFZ8FjwELTxxhtbjx49jLUL+i36VFinoQ9QCoIGGzRoUDS78Dh0IzQItAjnjYEDBxrziHeEQm/aupZ1HY63yT2ft+STVxiapJ2XKBdCI2IYxqarEBACQkAINCYCOQTojTkBjap1EUDgSqh1hhCQRbRT6ziKqg9RiCUZjHcspbfYYgtDWz4u4GXeMBph8CFcoH8EEbfeemtZJiPCFAQQlCdcffXV3mUuhDEMG5iVfCuyW7duZPuA8BbGJwSzT5j6B6L5nnvumRqb9h/rAgjjaXfT/6L9Gax4mA/WdtNzp8VgNt5+++3Tbqb+pQzCkKnR0n+YwigYkICAH4E6363ke4J8o2mWWWYxxgzDF4ZFKIfCAOnUR0iDxRBp5DM2DgKLL764gSdpeQNjR7AdrY/3gLiVfJZ2nXMG8xzr8mh5GOUoA8C0xSJsttlmMxiqAY9oWQ6IMMhCGi4go2ML6RxwUCrgnufGISypHPm9e/c2fpfECaeddpoh6MJyCgE6YznxxBPJ8oF8rMRgCAVlBZ+hP0JACFSFAEpRaPGj6ILCDvtBucDa5pxr53Kvqo5TKmEtFgTPjOnZZ5+doWSU+f/88897QRgCZ9YMLLKwKmfPgenDfbR8vDHyEKZh7craiqAQwTVCNtYt9kI8dtAPjBuEYPE24vfUY99CIYE8rqyLxNMCLgnDfkYZ5s7eyH7IfTQgnERIiYLRsccea6eccorB0KEMlohbb721obSG4JB137lpSkrkRwNrLcoFuE9EmW3vvfe2sD9y5Z508hkLa2+0vuKNjQB7NgIzftfQE+Xe65BHuU033dR/lzLMDhou0D64DYbxirAO+g3hM8zO5ZZbztjP+d3z+wx1o9dJkyZZ9DfOOxV+t6Ecv3d+v9BTvAMoDYaxpV1pg/cWxjPtYMkNM3auuebi1geYo8svv7wxD2g63h/oYZjD3PtCdfzDugl2oQtoXoSfCPtDGtci30nWPz7ZBG5hDWNt4hmzViLqO30AABAASURBVMJEX2ihhQy3/igp0H+xQa3VCwGeI2syZxTiH374ofGcywXKIFANiiZFj63S3s04ixxzUXs36xXrQbX7aWfs3dArd9xxh/cSxnrNmRl+BYE4aXyO4brrrqv4yY6ifwdqTwh0JQSKorNYzwJu0EbwzKo511Sis/hcHp/2C339/ve/NwTp++67r3FegjaAljv77LP9OeKggw4qGZmEOvW4QoOwpvXs2dOg/+CrPfbYY16JkHWNNRqFR+gXzq1xPlWedTg+fvYu+IjQtSiJxvPj942KYXycuhcCQkAICIHGQaDrCNAbB3ONJCMCk6Yy6bBqjhePMu7ieUn3MBuSmN5YfcEISKrT6GlLLrmkIRC4/vrrDUEx1nRYJ+CylyvhBz/4gcFohOEIUxKhKQLLSkxG55zh+hOh7Oqrr24w27EMgvmOQBXhOW1DnOLmE6ECzFHiMDqfnyoIQfABExTmf8ASy2TqDBgwwHi2MB4R/DNGnlEoBzMQghvinzSuENhYU3NPYE5ggGU9AhLSOLQg7EfgAnMV4e1uu+1mzBuCnjKEzTbbzLBQR7EA4hlLTBiUHJ5QHABDrLxJZ+4wqfgeKJhSP2vgN4dQGeyiY6c+An4UIGBWY1kY5kBepcCY0CbGNRYKEWDunDOuG2ywgfdIgIIBCgHRtrA24xmiHED/IQ/GLFjyzHkmPD/qUo77UA6hN+U4hPH8QjpXmMUw4BH0YCHBGPntcIjiN9DW1ubdzSPgB3OeB9Zb9M2zog0FISAEqkMAy22EpAiq8rTAugqzOU+drGVhGHXv3t0X54pFhr+J/GH9Yo1g3WL9cs4Z6xprA5ZX7A8IknfccUdj3YhUTYzCPMJtIGv+qquu6r8FjNAQBjRrD+sfAjD2BeeShdE0zFoJEwp8+vfvT5IPKASwN6299tpGPuV8RuQP61/4bnFIpk+YOuE+eoXpzxrJ+omLZpSfnHMGA4g9DDxwa82aGq0Xj7P/QQ+MHTvWoJtQHnPOGVfuSSefcvG6um9cBLDAxrII4XmeUaKYhtt056b/zrHeRtjMe8Dvgvb+9re/eetwmJoI1HnfoAV4b8hPCtCcMGZDHjQVNEC4R5iM1TTM05CW9cqaEO0bgTHvDwJFlPhQFIF+4zfN+4hiCAqOWduvtdxiiy3mrX+j7TC+JBqOd413jneP8YK5c/nfSeecV5KFbmPtYb2EbuIZI7z/3e9+Z3wnGYZ1dFyKf4dAA19QDMaDQ94hIoDgDJG3Xpbya621lrFnU5ZrfO+ux5iL2rtr2U87a+9mjWN9g97hfAy9QiBOGnmU4XkoCAEhUDwCRdJZ0DBFnGsq0VndunUz6B94b/DR4O0hoOYcgTAd/g3nCj6LAT+ueNTSW4ROwhU+OKAICc0CvQJtd8IJJ9jJJ5/s+YDQM/FW8q7DoT6GHvTHPd7IoL+IlwuNjGG5cStPCAgBISAEOg8BCdA7D/tcPXe1wjDxsMiCERefOxa2CPmyCL+xvoJYQ8gbbwdGOxreEJzxvGa4h6GOdTWCWohkGGpRy0O0O7FUhqjEmgiX685NZ6aWm6NzzhBEw9iHSYlbKDRaEfg657x1MQT64YcfbhDH0bZg4kHUI1TnGUUDaQj7EajCmMHyCcFCtAxxGI64/qRdrgiISI8GXGkiSIYAphwBoh3BP88UhiWCBwQS5IXg3LS5cajg98WYcG8LczOUgVlBOnOHIKfdkJf1irIAbos5mEXHHeKMESUImGfROWRp3zlnHIiwpAQHBGdc+T3DzOa3EW+HOd14443GbySMIVxRJsGihGfC80NBIeRFr5TDIoznF28fnMEb3MGN3w7KB0HwxWHmmmuuMTCfNGmSIYhPGme8Xd0LASFQHgGUXZLe6+i7mxRH0Mx7Wb719rl8rgFLUdpjnW+fO/2OMaHsBjOHPYr76bnTYqwNrBGsW6xfYR1jfx8yZIixZ1FmWulsf51zvh77FfsW4wxrLfvVnHPOWbEh1krojKR1kLbw2kE+5eKNOeeM/YTnwVrIPolwsdxaxxyx1kVRi/YZM/sGc2Cdj/eRdu/ctL0NPFmDaYcr9+znzmXb/9PaV3rHI8BvBw8uPMs8gc/SxJVjnJv+biA4pz3eEfZ13EcjKCv3Ow2zZ0x4MmJcuMxEATHkcUX4gxtT2s8boGlpIxp4PxCMQdvg0hQlFpispEfL1RoPVsCMmb6S2oMBDL39j3/8w1D8RNkAxjVzTirvXHHvJBigdMi6whgJuMdHyMa4kvpXWmMjgAVyWPN5nkkhKQ3FjLTfXNqMi9q76zVm56avT6xLzBtsOCdl3buZO+tCNfupc523d3N+wlMcZyPmTSBOGnnMS0EICIH6IABNAz3De5cnJNFZrD9FnGsYUzk6CyRYG1gbOTNxZmC9nDx5ssF7In3++eenWM0B/hhGJmADf46xVWo0igNjoy7nEc6dKDRDNyW14Vz+dZh2oIE469APxjWkZQkdhWGWsaiMEBACQkAIND4CEqA3/jNqhRFmmgMEH1a+aCnijhABXFJFrDBgxsM8WGaZZbzlRbQclhgIeiHwsODC9Vk0P8TRzsTihnawNqb/kNdsV9zRYskcHzeMfJgP8XTdCwEhIASEgBCoJwIwXRAyZxFa13McndE2ykhY1U+YMMFbrHZFDDoDd/XZMQjArMStPMqFznUtxQznnPE+o3w0ceJEQ9ieVwmyY56SehEC1SFQ4N5d3QA6sZb27k4EX10LASFQQqAr01lah0s/A0WEgBAQAkKggRCQAL2BHkZXHwrurvm2IBqKaBBWCmhaYn2Bq9ModtwjNA4aj5XaIR9rHPqPtjM93vgx55wddthhhsu36GhREkDTE83RaLriQkAICAEhIASEQP0QwIKdb/+xNzvXtYSM9UNVLQuBxkAAl/K4bucTE40xIo1CCAiBIhCYvncfZs5p7y4CU7UhBISAEMiDgNbhPGiprBAQAkJACHQEAhKgdwTK6kMIdAACuN4cNmyY4bY92t3rr79uffr0MQjRaLriQkAICAEhIASEQPEIPPHEE8a3EHFFv8ACCxTfgVoUAkKgUxBA6XbUqFGGm1A+Q4QleqcMRJ0KASFQOAIttXcXjo4aFAJCQAjUHwGtw/XHWD0IASEgBIRAfgQkQM+PmWoIgYZFACE63wXnG0MrrbRSaZzvvvuu9e7d23DzzvdrSxlNENEQhYAQEAJCQAg0CwJPPfWUnXzyyTZ69GhbeeWVm2XYGqcQEAIZEOC9HjlypN11110m5ZgMgKmIEGgSBLR3N9aD0miEgBDoeghoHe56z1wzFgJCQAg0CwISoDfLk9I4hUBGBJxz1qtXLxs3bpy9/PLLtt9++xnfEvrmm2/s2GOPNb7Liqv3xx9/3HDxnrFZFasOAdUSAkJACAiBLoQAQvMxY8bYYost1oVmrakKga6BwJZbbmlYoPfo0aNrTFizFAJdBAHt3V3kQXfMNNWLEBACVSCgdbgK0FRFCAgBISAEOgQBCdBrhPmdd96xeeaZJzX8+9//rrEHVRcC1SHgnLOlllrKLrnkEvv44499eOihh+zyyy+3mWee2YYPH25HHXWUHXrooTZp0qTqOlGtFkdA0xMCQkAICAEhIASEgBAQAkJACAgBISAEWh8BzVAICAEhIASEgBAQAo2DwKeffuoNQ8vJX//617/WdcASoNcI7y9+8Qt77733UsMPf/jDGntQdSFQDALdu3e3vn372s4772zDhg2zyy67zIehQ4daW1tbMZ2oFSHQSAhoLEJACAgBISAEhIAQEAJCQAgIASEgBIRA6yOgGQoBISAEhIAQEAIthcCss87qPSiXk7/OO++8dZ2zBOh1hVeNCwEhIASEgBCoDgHVEgJCQAgIASEgBISAEBACQkAICAEhIARaHwHNUAgIASEgBISAEGg8BCRAb7xnohEJASEgBISAEGh2BDR+ISAEhIAQEAJCQAgIASEgBISAEBACQqD1EdAMhYAQEAJCQAi0JAISoLfkY9WkhIAQEAJCQAgIgeoRUE0hIASEgBAQAkJACAgBISAEhIAQEAJCoPUR0AyFgBAQAkJACCQjIAF6Mi5KFQJCQAgIASEgBIRAcyKgUQsBISAEhIAQEAJCQAgIASEgBISAEBACrY+AZigEhIAQEAJ1Q0AC9LpB21wNf/bZZ7bwwgv7cM8999jSSy+t0IEYvPvuux57nsH777/fXD8ejVYICAEhIASEQIEIqCkhIASEgBAQAkJACAgBISAEhIAQEAKNjsA777zj+bmTJ09u9KE27Pg0MCEgBIRAIyMgAXojP50OHNuPf/xjmzhxog8/+tGP7JVXXlHoQAy6devmsecZ9OjRowOfvLoSAkJACAgBISAECkRATQkBISAEhIAQEAJCQAgIASEgBIRAF0DgF7/4hefnzjfffF1gtppiAgJKEgJCoMURkAC9xR+wpicEhIAQEAJCQAgIASEgBLIhoFJCQAgIASEgBISAEBACQkAICAEhIASEQOsjoBkKASFQCQEJ0Csh1EXyceHep08fI3z88cd2+eWXK3QgBv/5z3889uAvF+5d5KXTNIWAEBACQkAICIFiEVBrQkAICAEhIASEgBAQAkJACAiBDkLgz3/+s+fnPvHEEx3Uo7oRAkKghIAiQqADEJAAvQNAboYucOH+6KOPGmGLLbawvffeW6EDMZh//vk99uAvF+7N8MZojEJACAgBISAEhIAQKBYBtSYEhIAQEAJCQAgIASEgBIRA8yCwwgoreH7uKqus0jyD1kiFgBBoCAQ0iOZAQAL05nhOGqUQEAJCQAgIASEgBISAEBACQqBREdC4hIAQEAJCQAgIASEgBISAEBACQkAICIHWR6DLzFAC9C7zqDVRISAEhIAQEAJCQAgIASEgBISAEJgRAaUIASEgBISAEBACQkAICAEhIASEgBAQAq2PQPYZSoCeHSuVFAJCQAgIASEgBISAEBACQkAICAEh0FgIaDRCQAgIASEgBISAEBACQkAICAEhIASEQKEINKQAvdAZqjEhIASEgBAQAkJACAgBISAEhIAQEAJCoCER0KCEgBAQAkJACAgBISAEhIAQEAJCQAg0GgISoBf/RNSiEBACQkAICAEhIASEgBAQAkJACAgBIdD6CGiGQkAICAEhIASEgBAQAkJACAgBIdCCCEiA3oIPtbYpqbYQEAJCQAgIASEgBISAEBACQkAINAsCTzzxhN12223NMlyNs6EQ0GCEgBAQAkJACAgBISAEhIAQEAJCIAkBCdCTUFFa8yLQRUb+7rvv2vHHH2+LLrqofe9737Mf//jH1rt3bzvvvPOMPGB46623bK211rIPPviAW4UMCHzzzTd24okn2rzzzmvOuZrD7bffnqHXbEW+/fZbu/jii2222Waz7bff3j788MNsFVVKCAiBLoXAv//9b7vuuuv8nsDe4JyztrY2O/zww419oVYwENCw7+y+++61NlWx/nPAt8zOAAAQAElEQVTPPWezzz679e3b1z777LOK5cPc1113Xb8vOuds5pln9liACfkVG5la4JNPPrGzzz7bFllkkdI+wL5w0kkn2T//+c+pJer//+uvv7aJEyfapZdeanvttZetuuqqNnr06Fwdv/POO/bRRx/lqqPCjYsAdMC4ceNshx12sLnnntv/NnnHt9lmG3vwwQeN30zW0b/22mvWv39/m2OOOXw7zjlbaaWV7KabbrL//ve/WZvJVK7efbE23H///XbUUUfZVlttZTvuuKNNmTIl09goxLrwl7/8hWiHhLzrGoMaP368XwudS6dNt912W1t22WUprtCECLDvcI7r2bOn37ecc7bMMsvYqaeeWsi+U4+9mzEXsVfyDrJHV713pzxv1swJEyYY7acUKTyZdTjP3g2G0BZReqOtrc3TIOQVPkA1KASEQCoCrBlF0FmhnU033bR0HuHstMEGG+Sm11IHWyGjGlojqUnm8re//c1GjBhhBxxwgK255po2ZMiQpKI+jXWriH3BN1blH+jC9ddf32aZZRb785//XGUrZnnnXnVHqigEhIAQEAINj8BMDT9CDVAITEXg888/t6FDh3qGYR6hJETPiy++aBCvMNGdc17g3KtXL7v55ptzMRutA/5V6oL5XHDBBV4Ycvrpp9sPfvADO//88z2DfYkllrATTjjBfvGLX3iGKEy0119/vXBGaKUxNnP+TDPNZKeccor99a9/tTvuuMMzsMJ8yDvttNNs1KhRqeHYY4+1hRdeOFQp9Irgi7F9+umnNnLkSLvmmmsKbV+NCQEh0PwIPP30016AsvPOOxsMIPZOZvX22297ZgcMWvZSGLyk5w2TJ0+2o48+2lA2yls3b3mYH/SVVRD28MMP+7mjBAWD5x//+IdnfKBUhmAQTNgXn3/++dShsMey9s8///x+njDBQ2GYR6zB7LXPPPNMSC78+t5773llh1lnndXPB+Y/e/tjjz1m/fr1y9QfAsstttjCC1/YOzJVUqGGRgBFCJTnUJa88cYbS0p0vOPQs+uss45tt912FRUmECQdeeSRxu94+PDh9vHHH5fmze8aIezmm29u//rXv0rp1Ubq2Rdr2J133mkrr7yyVyyE/lpttdW88tD1119v3bt3rzhsxnfllVdajx497IwzzqhYvogCedc1+mRduuSSS6zSWtivXz9D8EYdheZBgOcb9p0jjjjCXnjhhdLZ7eWXX/aKvZztEIBTtpqZFb13M44wZvbpWvbKIvbuOCaMDxqI8/56661nld6deP1q7qvZu1F84tx47rnn2jnnnGP/+9//fEBhmjWJPDxLVDMe1RECQiAfAkXRWdF2oFOg0xgJZ6d7773XoNcOOuig0jpPXtGhGlojPoYgCP/Zz35mnIvuu+8+23///b0CwKBBg+LF/ZmrqH1hhsZzJqB8zHhzVisVzzv3UkVFhIAQEAJCoGURkAC9ZR9ta0wMxveBBx7omWMDBw4sMQyzzA4LGpiEyy+/vEG8ck89iNennnrKsNhBC/T9998nuSkCgtNDDjnECy9+85vfeCYLggIEAzBCsYwbPHiwZ4hCrMMY7UAL9KbAMOsgsXjs06dPqfh8881ne+65p//d8NtJCig1vPrqq947QKliQREsz7EUC839/Oc/D1FdhYAQEALGvoa2PYzspZde2q9XCFHRvg/wsP8NnLqXYuUGgzmkZ7myhyJA7ghLTcZ20UUXWVbmB3PvN1V4RD0sUbFC7datm58WjJ9hw4bZWWed5S26ETKiUOAzY3/++Mc/2pZbbmkw3e+++25DaD5p0iRflzWY4gjmsXCFPuG+qMCezf7O2o5lB1bn0Cc8K4RizrmKXSEsZ34IRxG2IGSsWEkFGh4BhNk8VxT4sDwnvttuu9kCCyzQbuz8fsmjfLuM7254hw899FCvkHrwwQfbSy+95H/jKJXsuuuu35Uyu+eee7wSB8KcUmLOSD37QuC2+OKLe+VYGNW88wjLWO/Ce19uuIzt2muv9fjxnsEoLVe+qDzWpzzrWuiXNZ1nizcOmNhJYamllrJ99tnHexMI9XRtDgR4tvx2EXigEMJzRMDy/e9/vzSBL774wu9NlC0lZozwey9672YcReyVRe3dAQreMRTn8diCshFKhSGvXtdq927mvvXWW3ulJ5R+wBMLVcJGG23klaVZ3zbeeGNP39Vr/AW0qyaEQNMjAN0E/VQrnRXaGTNmjMEXQgmWs8QjjzxiKPMEoFCKg9YP90VeWQeroTX+n717gZ7tqusDvjcJJrGQJhRKKAsaLPWxWuVlH77wQllKBVsoKohYwKL4wgJaoZTWQbS+CvjCByqmUAFBlyKIglJCUbRdLHyUlgUFVBBDiIUsikAgyW2+8+f87/nPnZn/vB97Plk5d86cxz57f878zzmzf3vv6fKQe0Ya9Nz+9rcfNib+wi/8wpLvTf/5P//nYcPeXKO6bfuvq7ov9NNcZD7X1nR6WWTfRcu+yLHsQ4AAAQL7JSCAvl/n6yBym4e+VIQlEJAW93kATKX/PIXPw08C76l4nrbfa1/72vKoRz1qJT1tph1nFeve//73D4fxi08C/wmCjD7AXnLJJcNe6AkU5Jgf//jHNzpsXY656JTeEekxv+j+q94vQacM2TtvuqnwSqB9kX2nHStfYvKlLpXeGWI1vcSmbW8dgQMVOMhip/FUejOkh3kqazLc78/93M8Nh/xOZU6CRZ/6qZ96bJOeTenZdrxghpkEZJPmDJsuvUkqvZPHWRJK0CFDN6eH2Td8wzeM7YFZax0Og36ve92r5D7z8z//8+clnYB4hlH9mZ/5mZKKrwc+8IHlTne60zDIlvQzBGB+NiU7vuMd7yivetWrMruSKQ2vPvdzP3c4okyCY6n8yegyXdD+tIPk/plnnvRezCglp21v/f4I5JkvvRPTCzGVk6mITQ/0VGSmcUf+ju95z3seFyjPtZNGqMkITm94wxuGjS/TqCTDQ+cznoamSe8lL3lJyWg7SexXfuVXhn8rmV9kWsex8myfStE0cExQ+UlPetKwEcD973//mQLHaVCS56j0sE8vsNFn6EXKOc8+81zX+ulm2NQ8k6Zncn6WYdyUz0HOY38/87svkHtJnuvTACw9mPP993nPe15Jo5Dcu3Mf7P4m8104P981b8PoVd+7V3WvXNW9uzvL//t//+/yyEc+cmOjSeS4i967850+3xXz3JKgXYLkSa8/3e9+9xuOKpJtsm326a83T4DAagRW+ZyVwHjq3zISVEbGyfeGPGelU0Ya5qYDTJfrF7zgBSWNcrv3q3pd9Fkjx0/D3TTgyfee1Gm9/OUvH47amY4kWT9pWtV9YVL6MywfbpL7Ztxz3RwumOOfRcs+xyFsSoAAAQJ7LCCAvscnr7Wsp2IslXd50Eyr8Vl7no1zSMVgKsHHrRtdlsrGtPweXb5r79OiPpUDydd973vfkmB55kenWmtJpWJ6MKT3UHqhj26za+9z7jNE7SZ6Nm6i7FdeeWXJ70OlonuVx0sPo3y202Nh0xW/qyyHtAgQmCSw2PLcL3OtT3Ao99B+KrlWpFI5Q4V2QfRULKQhTn+7afPpeZAebBmyr0tj2vbLrEvlx7/7d/9u2LhtloZIqaRKZVGOmWtkXsdNGcHjsz7rs4arsv3HPvax4Xz3T4Lq6dX76Ec/emwwLo0T0kO82z5pdPPLvL7xjW8s6S2X+1/OXc5ThpyfJ830uv3hH/7hYSXXi170opJg/Dz723Z3Bf70T/90OCx5hhrveij2c5vP/NVXX11SOdstT8A1f0fd+7zmfRrAJFDe/R1keTfVWksCy10PqfR8zLG79fO8ruNYGW49Q4fmWTF5SSV0ekhNehbONqNTApAJSqUSOw5pmDC6zbrex2Se61qXj1RKpwHU4x73uOEQqt1yr20I5G8195b8fWd0iX6p8tl+6lOfOvz7r7UOV+U+8brXvW44P8s/67h3r+peuap7d+fwN/7G3xj+Rm++0+dvJj/N0K1bx+sy9+6MKJdGL7XWkmeOCy+88LwsZlnW1VpLts0+521kAQECSwvkWSfPzrkOL/OclVGgUq+YRozjrj/5PpbGMBklKpnO/T0/G5j5VU2LPmvk+GnQlTrGlOGyyy4bjgKW58Jaj+4/2WbStKr7wqT0Z1mehhAZur3WWh70oAfNssvxNsuU/TiRpWbsTIAAAQK7LiCAvutn6IDy9/rXv77ky2h6rSSgmgexRYqfL5nf//3fX9J7PWnk4TSBzPxGZH5LbFyaCdynJfy4dbuyLL1t8mA4S37SYjQtR9PiNb3tZtlnm9ukUjdD0G8zD6s8dq11GPzJZ3CV6UqLAAECowIJBKey+Nu//dtLGu+Mru/eZ2jYxz72sd3bkl7qaWR1vGDCTO7Hg8FgOKx5hkafsNnR4iX/zT0uo87kNT2qU9l0WpK5v2d422yX+byOm2qtJRXSWZchV/tlT4VTAnT5SZRaJ1cUZWj3BDWSxiqm9DRPJU8aNKSyqgumzJt2RijJfT/75TW9VTNv2n+B9JROkDyVmJNK89f/+l8v6XFT69FnN0GzjErR3z49JR/84AeXXAf6y/vz+Wyn8rS/bJH5VR8r16AMPZ9nxeQnDUQz2sIs14ds303528jfSvd+1hEeuu0Xfc31bN7rWnes9P7KfBpB5dXUjkB6HqZ3eBqF5G94Usnyt59R2br1+emFbn7aa/5uVn3vXuW9MvfrZe/d/fLn51q6a0KuZZ/yKZ/SX73S+WXu3WnsmAY8yVB+siUjgWR+3JR12SbrfvInf3ItvVWTtonAIQus6jkrP4eT0cBGf16nb5uGUve+9737i1Y2v8yzRp4bMxJG6g0z6snP/uzPDhv3zpK5Vd4XZjnepG1yXU4APUPnp0HVpO1Gly9T9tG0Dva9ghMgQOAABATQD+Ak70sRH/CAB5T0rk3PmFRypxJvXOvNaeXJg2N6nieNDIP3mMc8pmTIoQSSU/GfIVjzu3KjaaQV/K4PjZYK9i7f+R2lVPZ378e9prFAypzgyrj1u7IsD7v/9t/+213JzsrykeGvMq0sQQkRIEBgjEAqoXOdT6+JMauPF9VaS78SPpX32e94gwkzGTY6va3Te3KdFdI5fO4HqbRJ79JpAYVs2015XujmM+z0pHtjhjZ/17veNdw0Pf5uc5vbDOfzT46VoXL7y7J8dEqlUq1HQcr73e9+o6vnep9h19O7rLu3Z2jeacHNuRK3cRMCaeSR3uVpTJKA0LRCffZnf/aw4Wi2+dCHPlQSpMl8N2Vkp/Tg7t5Peu0CUHn+/ozP+IxJm01dvupj5btBnu1z0PTc+g//4T+UBMPzfh+mRa5rKVe+l2Q42PSMSoPMBNNyHU4DhQxHn21M+yuQ3uRp9Jbfl51Wivzt9+83uXdM275bt4579yrvlau4d3dl3eRr/Je5d6cuIlPynOvZ5ZdfntmxU9Zlm6zM330CdJk3ESCw57QfhAAAEABJREFUGoFVPmfle1gaPE3LWa3nGvPmGSv39mnbz7Nu0WeNdCJKw8QEz3O8/BzWP//n/zyzM02rvC/MdMAxGyWI/5SnPKU8/vGPL/OM4rVs2cdkxaI9FJBlAgQIzCIggD6Lkm22IpAKg3kr6zMEU4Y/zbCOqfwbzXge8J75zGeW0XTHVTaO7rvt92kI0OUhv8+anjhpMNAtG32ttQ6DJd3D8Oj6XXj/pje9aTjEUhdA2IU8yQMBAgT2SSA9l3/gB36gpPfVafnOkOjdEOzppdyvwB63bwI36dn6jGc8o0zrUTFu33mXpcdsepnOW/mRAESGZ8/xcm/Mb4ePuzem4jmVSwmCP/zhD8/mc08JeKTH3N/7e3+vdENdz53ILTskf+klkfRueTus7EmDv8wvMdm1QYEnPvGJw5+EOa1oeb7N30K2y5D+3d953s86pSI5jWWyff5G7na3u2V2LdOsx8o16FnPetZxHhJA7j8PH6/Y0ZlFr2spTr7PZFStzGfKfBoXZUSCNAzOtW5Sg6Fsb9ptgfx9padcvu+eltOc826b/K1385Ne83ezqXv3uDzk3nbavTLXq03du8flcZFlq7h3Zwj+pJPjxyDPYpkfN2Vdtsm67JN9M28iQGB1Apt8zkrjxu4nGf/Vv/pXJY1kVlGSZZ41fvVXf3U4XHvykWeLjGh22vfDbDvvNMt9Yd40s32ujflJnuQ53yFrPWronHWnTZsq+2n5sJ7AEgJ2JUBgQwIC6BuCdpjNCKQS4nnPe97UISrTg2O0l1d63OShazO5XOwoaYHerxBNoCFDwOWhcVKKaQWbYewnrc/y9GL59V//9ZIeEHGotQ4bGGSoz+4BP9t1UxopfOM3fmNJBU6tdfhbsbUevWafBCkSEM82aahQ69G6e93rXiVB/y6dBA/yu6/pBdktS35rPdo+wZprrrmmWzV8TVnTaj9pJ4CRSoWY5Hdjv+u7vqukIcRwwy39ky9FX/EVX1FG893PTio7X/CCF5R8Dms9Kmt6Pablb3o19LcdnU/5c05S/gzlN7q+e3/ttdeWH/zBHywZgSAta3PMNCqJVc5xhotM5XW3fV5jl/OTc5IRHFKplemBD3xgyYgHOXa2MxEgsFsC+TtdZDjAjFKSQNuk0mT411TAZ9SWXJsnbbeK5bm+5De8cy2ct/Ij98av/dqvPc5GRjQZvTemZ0IaAXz84x8v6WmeEW+Od5hxJtfS9IK9y13uMvyd1QzDOOOu522WQNiP//iPHy/Pb6/PM9zg8Y5NzSjMqECeSxf52YA0IL3DHe4wmtyp7//oj/6o/MZv/EbJc0z+Xmqtp+6z6AazHKu7LnTPVPlbX6bhyqJ5XXS/Lv+LXNfyMxMZjWPSsa+77rrybd/2bSUjD+S5e9J2lu+uQBq05Xl73hzm+8+0fTZ57x6Xj1nvlfl73sS9e1weF1227L07o/70/17z/fW0vPS3yb5J47R9rCdAYDaBTT9npRHMm9/85pIgdQLos+Vy+lbLPGukzigNubojpO4o3w+796t6nfW+sMjxfud3fqfke18aGKZ+ctY0NlX2WfNjOwKHKaDUBPZH4Fb7k1U5JXC6QCoNM3RkrZMr/W5729uWT/u0TzuRWCrEU5FxYuGOvbnHPe5R+kGMm2++uTz2sY8t6bWW4Oci2X3f+95XvvRLv7Tkd1+/6qu+qvziL/5iSU+fNERIUD0Vc6nkz4N5l/6VV15ZMqTkH//xH5f+l/ov/uIvLi95yUvKPe95z3LZZZeVBHi/8iu/sqS3X4L4+bLQ/6KQIEmCGQkcdGnntwBzrEz5PaK0gu3WpTLx677u60rOb4ZmyvETzE+L2xz7u7/7u8vnfu7nluzX7bPp13i++93vnnjYDL+XQNdznvOc8qQnPam87GUvG/5uaRxSUZqhvOI+mkAe8BMQTw/TVJyl8cHoOU+AKL+fm4YK+TvIMFYf+MAHyg033FDS2OI7v/M7SwLp+dzktzj7IxOkl1O+LOXLx0tf+tKSfGbfV77ylSU/hRDfBOBzXkbz5j0BAvsjkOHe0yus1lryW3fTcp4GNaks3sRwyb/9279dcg3MdWaeyo/kv9Za0ijo8z7v8/K25BqXe2N3zct1+WEPe9iwIdCP/MiPDCutap38jDBMZOSfBCTSuyENj9KgKPe5kU3mevtLv/RLJQ3NslMaQKSRQo6Ra3HyneET0ygso7RkebYz7bjAlrOXnyj4kz/5k2Eu7ne/+5V5G2Tk7+Q7vuM7hs+DaeQ379/h8MAz/jPrsfKMl95BXbIJnuc56D3veU/Jc1D+TvL8mmefPCd12+3K6zLXtfQ8zf55PvyzP/uz8sIXvnA4qlSeqfvle+c73zkcDSPXiv5y820JpPFsSpTvV1/wBV+Q2YnTJu/do5nI/WrWe2Wt6793j+Zv2ffL3rsTRMp1rctHzmc3P+m1v032TRqTtrWcAIH1CSz7nJX6lTROTD1QRg5b1U/R5Flh0e9QCeinZ3jUaq3lIQ95yPB7VDqs5HtInrPyvSTHWLTxzjz3heRjnik/dfOt3/qtw7qu0Q5Sp6WzibKflgfrCRDYcwHZPyiBWx1UaRWWwC0CCQKmEvyW2eP/88A1b2Xj8c4bmkkL2e///u8/EbTOoVPRmQYAL37xi0t6k2fZLFMCro961KOGmyYYnZ4s6XX05Cc/ubzxjW8st7/97YcP0Am+5qF5uGHvn/QQTyVNeplncYb9fNvb3pbZ4ZRKvTyYfs/3fE/Jb8XVOl/AYpjIJ//JOUvZr7rqqmEAPcH+9KTO6gT7M6RnGkAkKPzUpz61jJ7fbLfuKXlMRe+kStxUgOb3pL7oi76oZBjhNCaId1r9JmieStEEth7zmMeUBK26/KayJC1q3/KWt5Q0IuiWj77mi04+I/1eZwkkJWCUtNM4Ip+T7BezrudphnnM5yAjATzxiU8s/aFR0xs95z/7JED1+7//+5k1ESCwpwLd33DueV3AeVxRcg3KdSe9tfvXhHHbLrsslR8J3GVKA6BF0sv9O/fANDDq9k8lfnq4pYdfrp3puZX7XHfv6LY77TX5+5qv+ZqSSq80BEvDpzRGOm2/SeszUkmu+d36NOjLb9XmnptAehoRpKd7GoWlsVjubWnMlHtMt49XAqMCeeZKA5k8k+XzWutsz1z5XOW6kFGIrr766pLP2u/93u+VLB89xrLvk+Y8x8qz6Hvf+97jw2bUhy/5ki8pd73rXUtG4snfSRprphdrGg5+9Vd/dUnjv+MdtjiT60auaZkWva4l+6lgT3nznJafqEjjyYzWcemll2b1cMrzWxoSpEHpcIF/mhLId5p8x0qhMipU7muZHzdt8t49evx85nPtmedeuc5792j+ln2/int3AlD5/t3l5W/9rb/VzU587W+TfZPGxI2tIEBgbQKLPmelfi51ROkEkjq3fF/p15ktk+Fcd/OckWneZ43cW9IoqDt+rjUZHSjfS9IpJd9D8pyV7yVpwJgGv+lYk/J0+5z2mvzNe184Lc1ufZ4p8101DSvTMadbPsvrJso+Sz5sQ4AAgW0KOPZ8AgLo83nZugGB9Pp6+9vfflySVDamZ3Ots1U2Hu+4hZkErV/zmtcMe1r3D58KtUc+8pElPZjTgy0PlP31o/NZn1alb3jDG8ozn/nM4XDs/W3yW3v5/cssSxA2vdLHBQxS4fpN3/RN2awk+JvWtGllmimB4bvf/e7D3ky1LmebSsEEGHKgVI6mV3XmuylB4xwr7xOczvaZX+UU41Qs54vG6JSGBPe///2HvcnHHTN2aR0bowwvnArR/nZxzBeTLEtFaCqEc47y/sorrywJgqehRILuWTZuyvEf8YhHlPQWTSA922RIq3xxye9kptFBgvAJKv3yL/9ySbrZ5rWvfe3xkPMZEjTL+tN97nOf4dv0gkql+vCNfwgQ2DuBVP7m/pGM53o0qYdpejdlhIwHPehBp/ZST1rLTKnAyL1okcqP0ePm/vibv/mbJ+6PGREk9/yUpT9iyui+o+9z/U3jpW/5lm8pGQklQfNsk2t5emIksJ1GUVk275Q89SvOUlmVyqj0TMn9NlOCIN2IM7kuf/mXf3l59rOfvZag5rz5t/1uCmTo9fw9paFeKj5Py2We0373d3+3pKFcGtOkYjj7pCdSGnIkIJttsmzZKekscqw0wuwfO6MUpTFf/g7zN5prVXpdXXrppcPNMgrSfe97362ORJSM5Dys6rqW9PpTeqanYWNGG8hQq926BFhTKd+999qOQO4Z+fvJ99X8XXbP+KMlzN/Dpu7d3bHzd7jsvXKV9+4uX+t4zXlY9t6dRtZ5Fls0f9k3aSy6v/0IEFhcYN7nrDR2Sf1VfrbvoQ996PFPDaYhYRr8pn4t19BFc7Tss0bqy/7gD/7g+PBpsJiOFalLTNrJW657abCYjfLs9YQnPKHkO2Se67Js3JT9lr0vjEt3dNkrXvGK4eiZqX/MT+WMrp/2fl1ln3ZM6wgQIEBgpQIbT0wAfePkDrhtgVQOpvVnl48EntMitHu/668JfF599dUlD7CjeU0FaCo+U7mWHnej67v3qZzPcN2f8zmfU8b1ZKi1DoeK7LZPoL0bPrBbltdaa0mL1y6NBGbz5SK9nTOfFquTgjTZf9YpAecMvZ/t85r3mR83JViSIPu4dcssS7oZxirD0o9Oj3vc40rOyaT0X//615f0OMznrOsF3t82PcIz5Gq3LIH69CTr3nev6YnYzU96TVqpZMv6tCTOUO6dV3os5Te38puqtR41auifn/589h+d8mVodJn3BAjsh0CCURmpIo11MkTfpFxnaORUomRkj0kV9ZP2nXf5q171qpJeGYtUfow7VnrLZzjn0Wtlgm6516f31rj9RpdliOk0PEoFUXp+5lra3yb30DRomjW9/r6pjMowkFlWax0OzZyGTzlGrbXUWksasaWhVkYFyXaZMprLH/7hH2bWROCEQIY0z8+vZKjfcY30Tmz8yTdpEJfnwPxUT4Lu3XPCJ1cPf6onw4ymIrRbtujrIsdKMDAVud0xM3rPb/3Wb5W8diPoJJicv8Nc29LQJdvmbzMjFqXyN++3Mc1/XZs/l+kJ9vznP7/kmb/bO9eMuHXvvbYhkAZcuSelsXcau0wq1Sbv3V0ekq9V3CtXde/u8rWOV/fudahKk8B+CCzynJXvN2nYm+eW1PNkRMB+adMgNwH2/rJ55pd91vjzP//zkmt4d8z05s7P/OVn/brRulJvlWU//MM/PPx+km2f97znldT3ZX7clDRXcV8Yl3a3LHnP827qIefteZ80sn/ymflMqyp70jIRIECAQJsCqw2gt2mkVA0JpCIwwd30pk2x0iNtMBiU0YrDrNvlKZWGP/qjP1rSGKDrpdbPbx5az5w5U/Jw2F/ezSeYm4BwKukvv/zybvGJ1/QISLA6C9NzOsfK/OiUSo8Y1lqHQ74nSJFKnjzUZpjg0e0XeZ/AbmhoPGAAABAASURBVHpg/5t/829KXvN+Ujpp7Zv8Tlq/6PIMoZmgdj5Do1M+TwmgZ8ir0fSzbT5zeU2vxUkBqTRm6PZN8Cq9i7r3i76mV35650/b/2EPe1jJF6FMmZ+27SLBomnpWUeAwGYEElTJPSPXzmnB6ozgkVEqUlGSa/s6c5ce3Gngk56ai1R+jMtbemGmgUB+Izb3pX5lVYJL6cndrzAZl0aWJRiXniG5LibImHtpRutIRVLWZ8r7aRVI2WbclPtIt/xud7tbyb26e99/zXPJ05/+9JL7Rpbnnv3zP//zmTUROCHwohe9qCTYnM/LrH9L6amdz3emVPLm/p6fbOj/zeSa8ad/+qcnjrXIm0WOlWe5jL7QHS+NfnL96t73X+9973uXH/zBHzxelMYE+Umf4wUbnFnHdW1S9uORa3UaTmSbfAZyncj8RicHW5tAgjYZZSENlac1atvkvbtf2FXdK1d17+7nbdXz7t2rFpUegf0RWOQ56xGPeMRxHUt6dWcEiW7kxpQ8I06ls0mev/J+nmkVzxrJT3qV57ip8/uyL/uy4yB5lnVTrXU4omR+ejDLku802MpzWt6PTqu6L4ym271P4+YML596t4zK0i2f53VdZZ8nD7YlQIAAgf0SEEDvnS+z7QukF/Uv/MIvDAuaCqf0VEugeLhgD//JkO2p+ExFflqL9ovwpje9qWTY7gxR1F+eh93/9t/+23BRgtG11uHDcq0nX+95z3uWrpdcNs6Del7HTRlGsnuoTs/3DB+a4Z5qreM2X2jZp3/6pw8rSPPaJZCgdM5phtlNL/lu+aZfE+j44i/+4vLc5z63dL2/uzzEPxVbef/Upz51rHWt9cRQyek5laHXs8+6p+T967/+60umzHfHy3m86qqrSoaD7JZ5JUBgPwVS0ZEhYFMRPynAlgqcpz3taSU/3/GABzxgrQVN5Uf3Mx+PfvSjV3Ks9OJI4PyBD3xgyb09gfkMk9i/N+Y+kR7lKes8B621lvxMRvZPw7tu3wTlc73u3s/y2g9wJSCfBnGT9svvw/YbNqUnbyp9Jm1v+eEJZPjN9LjOPfzbvu3bFgbI6DV5RknwuQuipzFffod84UQn7DjLsXKNSMOfLon+3123rP+a3l3d83xGIXrzm9/cX72R+eR51de10zKeYWAf8pCHDDfLtcHwzkOKuf7Z1Y1zb0mvuPy0UxpyTWrUlvvZpu7dp1nVOv+9cp337tPyO8/6Vdy7M9LM7W9/+3kOe2LbNHrPT96cWOgNAQJrFVjVc1ZGAkxdURoydxnOyGD/83/+z+7tTK+retZI8Dx1aTlori1/82/+zcyOnVJHlO9P3co8Y/UbFXXLx73WOv99YVw63bL8nE969ufZN8+T3fJ5XjdV9nnyZFsCBAgQ2G0BAfTdPj/z5M62pwjkYfMZz3hGSUVEgufphb2qHtKnHHqtq2s9eihNkDaB7P7BUtmeHkmphOmWp6Kl602eB888OM8ypXKmS2P0NQ/VCVZ0lQJ/9Ed/VN7+9rePbray9zmX+a3LDD2aLyFpfZrAyaQDpNLjmmuuKdOmNCyYtP+sy/MbV2l1298+FdDpQZJleeCfxTrbjJ7L7L+JKT3fMyRqhnnP8Z75zGfmxUSAwJ4K5N6QoE6mSdeVXHMSZE+Pz1zra11d46dxbLkWLlv50U83PxmSn9ZIAC3DteeelPXpvZ3y98udBmfpZZ8yZ5t5pqSf+2atRz5pWNZvaDZPWrNum3tbN3JJesInSDbrvrZrWyDPcxmZ5z73uU9JL6buc79MqTOc+2Mf+9jjJNJI8fjNimdWeawEldJ4s8viOvPdHWP0ddXXtdH0x72vtZb8PNC4dZbtt8DLX/7y4ahbafg26fvq2bNnyybv3bOKznqv3NS9e9Z8r3K7cffu/PxEP0j1oQ996NRD9rfJqBNJ49SdbECAwEoEVv2cVetRb+50vEgGU0eX7xKZn3XaxrNG8pZ6riuuuCKzw/rUWQPowx1u+WfW+8Itm078P1ap28x31TQgnLjhilcsW/YVZ0dyBAgQILAFAQH0LaA75DiB9S/LMNr5HbnLLrusJHj++Z//+es/6AaPkN9DTFD527/9208cNcu6gHlWJPh8ww03ZLYkuDucWcE/eSjuHmQzhHqCGP3eQys4RLnpppvKi1/84pLKh/Sif/3rX1/SKyPH7XpMjTvOv/7X/7qk1f+06bd+67fG7TrXsjQgSG/KfmvYDO+eL0dJaN4vGtlnU1MCMwky3e9+9ysZciyNIB7zmMeU29zmNpvKguMQILBigQxX/sQnPrGkZ2pGk6j1KPA7epj0JMjwzQ9+8INLrq3pWT1u+u3f/u2Sa1r2T2Ob/jaz3k/SoCg9XTPU+lvf+tbST6M//8pXvrJ0FccpR0Zb6dZnv+QhU0brSAOuDCn4uMc9rqRXd5Z3U3dvTA/dblmGQl90aOpcIxOwTFo59ryNr/LTKdl31in3rdxbsn08BNAjYcqzXBqC5O8xIy4ksLIKlTTWyL0/r0kvzwZ5XceUY0w6VoYTzU8czHrcpJVRmbrt15nv7hj911Vf1/ppnzafa0S2Se+29CLLvGm/Bf7X//pfJT+Fld6KeTafVJpN3rsn5WHS8tPulbl/ftd3fdfw5782ce8uS/63int3rmv5vtxlZZbrVH+bK6+80veyDs8rgTULrOs5K3Ur/e8k/b/x04q0ymeNPDt86qd+6mmHPF6f54tuJJTUbS3yfeS0+8LxwcbM5Jjp2JHGonnm7b4TjnvNd9QkkWfkfHfttrn66qtL0tlG2ZMfEwECBAjsr4AA+hLnLpW1+fKXgOykKcPD5OFricPYdQUC6YH2hCc8oaQSOoHSlQfPV5DHaUn8xm/8Rsnvw03bJuvyQJkHywRB8j5Tel/3e4Ont1w+l1n3zne+s8xb+Z/9xk2pwE0eU4mZ9XFOwCPzq5gyJGd+mynDRz3nOc8ZDpee4W1Xkfaq0kivgPTezvWgSzMtlzvjVIh1y3flNb0w07AkvyOV0Rky5HECWxdccMGuZFE+CBBYQCDXnlwv02o+v52a+8OkZNK4J/eKDBebntyTpgS+U/GQdDKceX+7VORn+WlTnptyvOc///mlv//o/Dd8wzeU5Cnpve1tbytf+7Vfe7x9el9keaYMf5hra621dIHtLO9PKXt66H7RF33RcHGC/RmScfhmzn8uu+yy0v2USBpz5bo/TxLpvdE1skpFWH4uY9r+2Xb0p0GmbW9d+wK5b+c5KBWCL3zhC0s+U6ssdYI06dGdNLvK0syvY5p0rPy0wZ3vfOfjQ/6f//N/jucnzSSAPGndupev+rq2SH7TWGibBovk2T7nC6SHXX4WK0HlNMqtdXzDt+yZe2nuk5u4d+d480yn3Ss3fe+eJ+/jts11NvfjrDu+d+fNhCnbjt678x05I+N0u+RZpJuf9NrfJj+vdvHFF0/a1HICBFYksO7nrHyPyDUi2Z3nOWuVzxp5zktQPHlIMDxpZ37SlO9SeTabtH6W5afdF6alkfq0d7zjHSVD3j/ykY88/k44+v0x7/MdNWnlO2u+u2ZZpsFgMKz73EbZkx8TAQIECCwmkE6gaYCW+8i4Kd+BM5rmYqnPtpcA+mxOY7dKj9e0JM4X10lTtsnDxtgELNyIQIIIGeYn5ypB3f4Qj/0MJPib3sz9Zbsyn4B3enTn9bQ85WG836o12/crHnOxyYUny9PLOMOaZ36ZKcGL9ADMMII/9mM/dpxUli3ay+84kVtm0pM9vaJf85rXlAwtmqBQrZMrlG7Z5cT/Oa/5IjRt+vIv//IT+6zqTb6Y5JwkvTTkyOcx87syveIVrxj2OM91KhXyqSDalbzJBwECiwmk4V6Gdk5w6kd+5EdK/r4XS2n39/rjP/7jYSZznc31dvhmzD/prfD4xz/+eE3/vni8cIaZWmtJJXg2TU+yPFtkftYpvR4SeM/2echP7/rMzzKlEWD2n2Vb27QrkN8M/oVf+IWS+3c+g6suaRrQZUq68/a6zD7zTDlOpuzTP1attXzO53xOFg+neYdk76c1TKDhf1KZnOJlmO9da1iafJlmF8h3hATO/+W//JclI4rVOvt3ndmPspkta51+r9z0vXvZUufeu4p7d39o99MasidglG2S91prSe/NzK9qkg4BAuMF1v2clTriWo+uket4jhtfqpNLUyd497vffbgwHWzSIGv4ZoZ/0nM918QZNj2xSa1HZc7ClHve71DZbxXTNsq+inxLgwABAocqcNFFF5XEhSbFXjNSYxqTr9NHAH1J3VTYTksiJ3naeuvWK9AFETKMz6tf/eqSltvjjpjWic9+9rOHLRLHrd/2snxhf+Mb31h+53d+Z6aspNdOHmy7jfstWxM8v+td7zpclVbtGc5++GbKP3H8zu/8zpKA++hmCeqnZWcq7h72sIeVBLfTgznbvetd7yr5jfL45v2i03/9r/+1pPFD9k8v9C54kfellJ1+6bdwTQD9937v907NbyrQvumbvmmlQ+yPO2huQPncZzSNe9/73se9KsdtaxkBAvshkOt1hmzPfe9Zz3pWmfackkZFGd4uDYgyf9r0pje9qXT3llTw97dPGrMIpZd4el339x03n4qc7l6V3wpM5U633VOe8pRZDnXeNp/5mZ95nP9FGxWkQjujdSTx3OvmvR+lwqmrBE+Z/uzP/ixJTZzyJSHX6myQ0QSmNRLINqa2BVKpm5+l+Zmf+ZnSVXxOKnH+tvM3M2n9pOXdZy5fQvNsMGm7VSyfdqwHPOABx3+v6XXU/R1MOm6eabOu1jpxNIqsX8e0retansHzsxupjE+PrFr3N+C6jvOyT2nm2T+NhfPTBd/xHd9RuoYl48qQn7TKvT733fyNnzat4t49Lh/Tli17r+ynvYp7dz+9ReZXde/+7M/+7OPrU35iLed9Un6yLttkfa4xmTJvGgr4h8BaBDbxnJUe37l/pyd6rm+zFiTXgFV9h0qd4D/9p//0+NBdo6bjBSMzuaan4W8Wp4F2AuCZn2dKGot+h0p+MwT7afe7rM931OQr31lz/8uyTNk/6WTadNmTHxMBAgQIrE9g2nenVRxVAH0VitLYSYFULOT34zKET4Lnn/VZnzU2n9kuv4eaQHJ+S3vsRltemB4lqezP8Oz5Mn1advJAnorTbHfZZZeVe9zjHpkdTmnpea973Ws4n3/S63haL/E8bGabVHKO80nv7vwW+dOf/vRhoCYPpMlnHliT/vOe97zyute9LrMLT/ntom7nOHTz+/CaHoOdfywzzOLJc3iyFPk8dj1H0xDi5NrVvssQhF3PpdxsalXxulphqRHYrECuMblep3f1L/7iL5b0up6Wg1xbcw2fts2ur+t6qX7kIx8pXUXzaXmu9WTv1tO276/PdTMj1uR++NCHPrS/aqb5Wmt5+MMfXmo9ut7+yq/8Ssl5m7Tz//2//7ekRW3Wp7LH8K2ROMwpjfDSYPGlL30l9ddvAAAQAElEQVRpSaPFaQoZijPbprJy2nbj1v33//7fS342Jz+bME/F7ri0Tls27VjpRd797EL+5vJTDpPSS0PNNLrJ+s/4jM8oCVJlfl+nPAvmHOZ1WhnSsDYNTPPzQWfOnJm2qXU7LJDznGf/PPfPMmrMVVddVdK4eIeLVE67V2763r2sVa2ruXfnuSyNzZOfd7/73SXPa5kfN+U7WhpDZl2G89eALhKtTMqxiwKbeM7KM3/u23l9whOeUFJXtC2LBz3oQSV1hTl+fjJyWkPFfBfJs2G2TUPg1E9mfp7ptPvCPGktu+2my75sfu1PgAABAtsVEEDfrr+jr0kgD6QJIqT33bXXXlvuf//7l/RkG53SMzuV0fmt1fxmQlpTrilLSyWbXkB5uE1jgFSwpKJlUoIpexoMpDIx26SHXCoTM99N+RLeBbjTSzyV8m9961u71cevCcQnGJ6KmvyG7mhPu/QI+u7v/u6S3lD9ytzMd8PIp3dz9k0Q4Djh3kwqErq3o5UIXRn6AeeULWXs9slrhsDt/857lu3KlM9XKjZrPQqW5Bymp37yPJrHfDHJ0I2pLPnGb/zG0dUrf5+AU1e5ntEFRhtSxDlfJKce2EoCBHZCIH+vGVEi1+uf+7mfK7lvTMtYrvlp0JNentO2W2Rd8pJekekJn9e8XySdWfZJD9kuyPeSl7yk5L41ab9URue6l3viaIAt97P8TEj/fjOaTsrx3Oc+t+R+FruMDjO6Ta7tued98zd/c5lU9vSoT8VN9v3VX/3Vkp9Byfy4KRVauRcmYP9VX/VV4zax7AAE0oPmX/yLf1G+7/u+r3z+53/+1BKnd1KeFfMs1o1AkR6rCbYmnWnPkAna/qf/9J9K/qbSC7bWo2eX/gH//M//vOQzngaS4/7eVnWs5D3DWKd3df5u09g1f4P9vHTzCUT97u/+7vBtnkkz+s/wzYr/ybNmrmuZ5h1Wftas5PqSn5tKGfKM/EM/9ENjr2sZveJbvuVbypd8yZeUbLNvDUxn9Wh9u/w95vOUZ/98b83nflqZ0/AtPST/8T/+x9M2W2hd/r5y30p+8pr3owmt6l65qnv3aP4Wfb/Je3fu5bmn596e55ZxzlmW54O8Ztvss2jZ7Edg5QINJpjno2Wes/I8lMB4vl/lOWgSUZ4dnv/855fU0XWNaUa3Pe05a3T7Rd/n2pJ6weyfa36eEzM/bsooirlOJuCfkRJrPfd8uKr7QtLP8+W071Dj8rbIslWVfZFj24cAAQIE9k9AAH3/ztnB5DgPnpnmLXC+aKZHXXqfZ98MkZTWjuOmDPeYAG+2Sy/hPBBmftemv/bX/lq5y13uMsxWhu184hOfWFJBOlww8s9rX/va8uM//uPDpX/37/7dsZVqqbTI75MPN7rln/TaS0+fM2fOlJ/4iZ8o+W3N/FZshmZKQ4SrrrqqZP6WTY//T4XP0572tGGQJq1naz33EF1rLal4TQVsdkjPoVS05tzkfX/Kw2v3PhUFCV5kuwTKE5zPZ6BfWfyTP/mT5Wd/9mfLDTfcUNLb6Hu+53tKhjDsgvupZM0Xl+Qvweou7XlfE1juhpjKvmmRm174mZ93Sv4SGO/2yzlKL5ME0hPoyvQ1X/M15Yorrij5cpLypdK02757jcW4+W7Z6Gu2j+Xo8u59zmnXaCRly5eVVOCl7LFLz68Eb2o9OrdxTcVuGjrEo0tnn1/lnUArAqlQz09tpPIhf7ujDcb67zMUaa75+fvPtGqD3//93x9WDP3Yj/1YSS+FVPiv+hhdegky5T6QINsrX/nKMinIlmBTgt7ZLttnvy6NNLT70i/90pLpDne4Q8n9MRVh3fq85nr6oz/6o+WFL3xh+bVf+7Xyz/7ZP8viE1P2SeOxHCf3qpQ95+XERre8SYAk9+nco3PtzT09975bVp34PxVSKU8a0KWybVzA/sQOt7zJvW/S88Etq/2/hwL57GZ47gS3n/SkJ41tENr/+04vxYwMlOtAV9w0Dsn7f/AP/sFw6Pfc20efD9KzKJWi+XymEjiNTLv9u9d8Tr/iK76i5DOe58Q8a4+ms6pj5Zhp4JNGA5nP39S4v6ccP38nufbl7y+NFrP9aVMaLZ62TX99/FO5nutapi/4gi8o62hkmKBa94yVa0qu62l0k+FVU9Y8o/2X//JfSp7lH/jAB5Zf+qVfOnW0kX45zO+OQM5nvmf99E//9PBnstKwq/+3PDqfe0CCLve9733Xcs5Pu3ev6l6ZM5B7cO7FuScveu9OOuOm/N10I7GNWz+6LNvn2pHrWq4z67535zzmWCl7rl3jriNZlnXz3P9Hy+U9AQLjBUaXruI5K9eONGjL96s0gvuDP/iD0cOUdFZ4zGMeU86cOVNe9rKXlYzcOLrRLM9Zo/ss+r7WWp7xjGeUf/JP/slwNKw0norFaHqp/8noKLlm/dRP/VTp19+t6r4w63V4NG+Lvq91+bIvemz7ESBAgMD+CQig7985O5gc5wEzD2SjBU6rzdFl/fepXEvlWRcY76+bNn/Pe96zXHzxxdM22dq6PFwn2JkMpGI0Qe4EQFLxkC/Y11xzTUmAIr/3k4qVVMjnQTjD+3X7Zd9uqrWWVMKmd3m3LK+pcE1vlrSGTcA7vfJTEZpeTFnfTV2FTx78U6mbioBuXfeaitcM/9m9zxDvGXY0+3bL8povGgkmZz5B2wQvUqmSHlDpeZShxdNTrwvG57xmxICcq+yXCsX0Ovq6r/u6JDGcctxP+ZRPGQajhwsW+Cc9sq+++urjPVOx/Mu//MslQZTjhTPOpFdQKsjyhanbJeXIZzWB9UwvetGLSj6D8R53zvJl6jd/8ze73Yc9G/NF43jBLTOxTcvhNCK45e2wYvcP//APMzt2SoORvlv8P+3TPm04FP+DH/zgkuFfc87yWUsCaQiRfXI+8gUqy0xbFXBwAkOBXJvSOynXlWmNxrqGZLln1FpPDCU+TGhF/6QhUFd5nTy9+c1vXlHK45NJUCsNvzKySu5haQyUZ4hcExNQToOs3BOzLBXS2b6fUhpg5T6bZdk+jbfSoOkpT3nKMDiVwPnf//t/v+Rek3tDroHZdnRKQK7/jJKyp2dort+j2+Y6n6BBrvtpVJXKtKSf4+c+kwBmgmN5n/M7eh8eTa97nwq73BfzPveCNHzKvGk/BVKRmee6NFzLZ6H7G572mu1yD+/u3Sl5guLdfTu9tb/sy75sOMx5nicTgE0jjgypnF6t6YWUZ7jsNzrlb6j/Gc8zxmiDjVUdK8eu9eh59Qd+4AfytuQ6l8re7vtBKnVT4fu93/u9Jc9YedbKM9dw4yn/5PkpP5/QbZK/k6TVvR/3mutm7Lp1edbO8RLw7pat4jXPwGlgk+fhLr08f6Whb85hGtXm+vDGN76x5NqU9912XvdHIPen3B9yn8l8flt22t911mWbyy67rEy6By1b+tPu3au6V3b5zL14mXt3l07/NZa5hqVBTZbnNY3RMj9p2sa9O43w8gwQ01yv8x0v9/5Mmc+yrMv3w1nv/5PKZzkBApMFVvWc1e/8kGejNHJLY5x0lMhIE+npncZPT37yk0ve97fv526G56z+5kvPJx9plJdrUp4109gydVRprJfrab5TZLTKlGlXvkMtXehPJrBs2T+ZjBcCBAgQOAABAfQDOMn7WMT0gk3v5nGVUgns5gEuD3SjZfv1X//1kiByKq1H1532/j73uc9pm2x1fYaczUNrArmptEsv5QRLMzx9KklTwZqH8fSgS2V8AgaTKkBTkFQwZoikDB2bSsdU1NVaS16TRnrYpUIxvZWyfTfFPg//qfDJshe84AXDXu55yM77TMlfAvRdhWeW5Zw84hGPGPZGTBpZlulud7vbsMd7ggi11pKy/Pt//++HPfzyUJttUo5UFibQnIrCTKk8Sk+J/M5vhirOugQgUrmYVrGpEM4Qptl/1il5TCXs3e9+95JK5AQf+vsmX/F5yEMeUvpl6G8zaT55zjlLgCR5T0OIbHunO91pGMTK8gSwr7zyyiw+nnKcfOFKa+as71bk/CafGeo9X7RSCR6nVIJ32ySAFZN8RlJJ1z9H3TbZPoYxi93f+Tt/p+S8paIulTc5P/mcpMIuZYhzKqYSqOrS8EpgMQF7rUIgAdP8Xeb6NU96qZD9vM/7vHl2mXnbVBjlmpEd8pqGUplf11RrLbm/JLiVxlcJAnz6p396yTUt19r0KM9IKQmA5Rmh1qNRNbr85Hf8UmGda13utbk/JsD24he/uKRSKde+3G/ToCjX2W6/0dc0Jsv9ob88xxy9l3Trk8cMGZlK9ATNcu9N468EIHO/GQwGJdf3XMO7fca95j6RhmXZLs8CufZ326VBWe7jWZ9KvG65190XSC/k9IpMheY8uc1nKKPa1Hruc54ezAm4PvzhDy957kh6GcUnAdg8XyWgnmfvPDfl85f146Y8I+T5qFuXEXa6xifdslUdq0svf4/phZ0hTdPjPaNApIFLrbUk6J8GA295y1tKRmnI32q33+hrnoHyLJRnqjw/pWFKt00C1FkWnwwBn7+7bl33mr/X/H117/Oav++km/lVTqmsTtp5FsvzeBqsvu51rytpOJC/74y0lWvVKo8prc0KvOIVryj5PM971DSs+szP/Mx5d5tp+9Pu3au6V3aZqXW5e3eXTl4zqkbuc3m2eexjH5tFwyl/L913oazPdsMVvX+2de/O33n+xtPoL9/nEjDPlPksy7ps08uqWQIEViiwyuesxzzmMSXP83mWT31RrXX4E00ZsSYdXvI3neesr/7qry7pIDKpGLM8Z03ad9HleabKSJCpW8vIj/lemWfBXI/SsSbPRnkmWc13qPG5nPc6PD6V+ZcuU/b5j2YPAgQIENhXAQH0fT1zDeY7PagzVF0q/tILth8s7Bf3Xe96V7nXve5V8kCXHmH5TdOszwNwKsYmVVRnm0nTbW9725KH1Unrd2F5GhTkwTx5SWD5K7/yK0sq/FPuNCbIlEqCLEsl+rQH86SRqdZaEphNYD5DUyYAk9ekkUrRVFpmu/50z3ves+Tc5HiZMvx7KlzTI7zbLgGT9MpJr7ts05/SqztpdNvmNZWtCQLl+Km0TKAjD+1Z100JWmT4+pQ3U76g/KN/9I9KrUcVxFmfysW03E9FaoZHr/VoXZfGaa8JtiSAkp4K/Tz359OAIV8wRstwWtpZn3OSLyXJe9JJuqnATsOHLM/6bNefcpxUlObnBrJ9f8qyDKN15ZVXlnwpy/v++szHIyMRjJ6j7hg5Znp0xSzbpuypqM7oA9mm1loypGt6tcY95yBfNLLOROCgBXak8Lkf5u8zf+/zTKkkyb1knmKkoVl6m+Y4uS5N2jd5Si/VV73qVSXXlLyftO2k5QnypVdIjpX7xmiQbtx+qdzPyCUJKOd+mH1z3UpZExTL+nH7ZVmOl1Fdck/LvpkSkM/1PqPaTNs3+2eqtZZnPetZJecjga401D6OEAAAEABJREFUmkq+x91Ls32mXIPTqCr33eQ1ec6xk+dUWk0LCGb/TLlPpHFhrvW5jieN/pTgYNanHNnetB8C+exkVJr+uZxlPj9xM9o4ptZa8syU5408dySdPIfk857ho9PIZdrntBNLnl7+8peX5Ottb3tbSU+qbl33WutqjtWl1712f6O5piT/mfLck+egPMvWOv2ZL8+peRbKtSv7Zf/+lL/bNCjMMKV5ruqO273muTSNM/PzPukJnLTy95nvI902p72mDLNe13JtyLNtnsczbP6ZM2dKKpiz/LTjWL/7AuntN+563f9MjptPw655PnORWOW9O5/hZe+VyVN/yv110Xt3l04CzbnP5X436hbn3B+zPtt1+3SvtW7n3p3j5/tWRtXI998u35nPsqzLNiYCBNYjkGeaPM90f3uzvo57zsq9uXueT31a6rXymu8kz372s4fPYNnmtJIkT6c9Z52WRq7Tsz5rdGnVeu7ZLc+Hsci1Mz3Qc33OdbrbdvQ1x1v2vlDr/Nfh0Xx07/Ocl/znO2vuf93ySa+1zlH2SYlYToAAAQJNCwigN31696tw+Z3DVFan4jgPPKdNeaBL0C+/F5eS5mEzleyn7TdufYZuy9CIScdEgAABAgRaF1h3+VKZkorqaRUu687DttJPI7L0Pnn7299e0mP1EA22Ze+46xdIIDmf6/TIrnV60Hr9udnsEWqtJX/PaXz0zne+syS4ncD8ZnPhaATWJ+DefYfi3r2+z5eUCRA4XeCQn7N8hzr987HMFvYlQIAAgcUEBNAXc7MXAQIECBAgQIDAdgR2/qjpBZef5sjPmdR6WEHGnT85MkhgSYEMq56h2zMU65JJ2Z0AgR0ScO/eoZMhKwQIHKSA6/BBnvZZCm0bAgQIbE1AAH1r9A5MgAABAgQIECDQmkB+gz0/uZIhG//23/7bY4pnEQEC+yiQUaxe9rKXle/93u8tP/ETP1HSE30fyyHPBAicL+Defb6JJQQIENikgOvwJrUda7MCjkaAwD4LCKDv89mTdwIECBAgQIAAgZ0R+B//43+UwWBQ8tvp//Af/sOdyddKMyIxAgcqkL/rl770peVVr3pV0TjmQD8Eit2kgHt3k6dVoQgQ2CMB1+E9OlmyengCSkzgwAUE0A/8A6D4BAgQIECAAAECqxFI0PzVr351ye9DryZFqaxaQHoEFhV46EMfWtID/Yorrlg0CfsRILCDAu7dO3hSZIkAgYMScB0+qNOtsAQ2KuBgBJYVEEBfVtD+BAgQIECAAAECBAgQWL+AIxAgQIAAAQIECBAgQIAAAQLtCyjhDggIoO/ASZAFAgQIECBAgAABAgQItC2gdAQIECBAgAABAgQIECBAgED7Am2UUAC9jfOoFAQIECBAgAABAgQIECCwLgHpEiBAgAABAgQIECBAgAABAu0LfLKEAuifhPBCgAABAgQIECBAgAABAgRaFFAmAgQIECBAgAABAgQIECBAYHaBfQ2gz15CWxIgQIAAAQIECBAgQIAAAQL7KiDfBAgQIECAAAECBAgQIEBgowIC6Bvl7g62e6/vfve7y93vfvfh9JrXvKa84Q1vMG3Q4K1vfevQPufgxS9+MfsN2vus+1tv/TPw3Oc+t2R68pOf7Nri2uIz4DMw9jPQXSNe/epXj13f+nVS+TwLtPoZyN/2933f9w2fA1ot436Uy9+Y87Taz0D+tjM9/elPd9/2bOcz4DPgM7DFz8BP//RPD+tz8z1q92r75YgAAQIElhUQQF9WsJH93//+95d3vOMdw+l973tfue997zt5sm7lNh/84AeH9jkHP/RDP7Ty9J1Pn2efgcP9DHzrt35ryXTVVVe5trh/+Qz4DIz9DOQa8ZznPKc88IEPHLvePeRw7yHO/X6f+/xtP+1pTxs+BziX+30ut3r+3Dt37t6Yv+1M//E//sedy5vPqmuNz4DPwCF9Bt7ylrcM63MvvfTSRiIEikGAAAECfQEB9L6G+YMQ2PVCfvM3f3NJoMt0FYdbAp5XmXwOlvwMfP3Xf33J9IVf+IUsl7T093iVz1Cjn6FcIx784AeXn/qpn3KOGz3HVynXQX6287f9qEc9avgc4DNw1UF+Bq7yt19aNMjfdqaHPexhPtc+4z4DPgM+A1v8DNzjHvcYPmcV/xEgQIBAkwIC6E2e1uULdeGFFxbT5gz6ZywV2I9+9KPLhMlyNj4DPgNzfQae97znlUy/9mu/Ntd+rkGuwz4Dh/MZyDXiFa94RXn84x/vOuEe4zPQ0Gcgf9svfOELh88BrumHc013rps612OvyfnbzvSyl71s7HqfgfY/A86xc+wzsBufgVyHcz3OaF79ul3zBAgQINCGgAB6G+dx6VJkCPezZ8+WTH/yJ39SPvGJT5g2aHD99dcP7eN/n/vcZ+nzubsJyBkBAgQIECBAgAABAgQIECDQvoASEiBAgAABAgQIENhfAQH0/T13ck6AwKYFHI8AAQIECBAgQIAAAQIECBBoX0AJCRAgQIAAAQIEDlpAAP2gT7/CEyBwSALKSoAAAQIECBAgQIAAAQIECLQvoIQECBAgQIAAAQLLCQigL+dnbwIECBDYjICjECBAgAABAgQIECBAgAABAu0LKCEBAgQIECBAYOsCAuhbPwUyQIAAAQLtCyghAQIECBAgQIAAAQIECBAg0L6AEhIgQIAAAQItCAigt3AWlYEAAQIECKxTQNoECBAgQIAAAQIECBAgQIBA+wJKSIAAAQIECAwFBNCHDP4hQIAAAQIEWhVQLgIECBAgQIAAAQIECBAgQKB9ASUkQIAAAQKrEhBAX5WkdAgQIECAAAECqxeQIgECBAgQIECAAAECBAgQINC+gBISIECAwA4JCKDv0MmQFQIECBAgQIBAWwJKQ4AAAQIECBAgQIAAAQIECLQvoIQECBBoS0AAva3zqTQECBAgQIAAAQKrEpAOAQIECBAgQIAAAQIECBAg0L6AEhIgQGBEQAB9BMRbAgQIECBAgAABAi0IKAMBAgQIECBAgAABAgQIECDQvoASEiCwegEB9CVNb7rppqkp3HDDDVPXW0mAAAECBAgQIECAwHkCFhAgQIAAAQIECBAgQIAAAQLtCyghgYUEPvKRjyy036w7CaDPKjVhuw996EPloosuKhdffPHY6eabby6ZJuxuMQECBAgQIECAAAECzQkoEAECBAgQIECAAAECBAgQINC+gBKuQyCdly+88MKxcdfEYxOX/djHPlbOnj1b1vWfAPqSspdffnlJL/OcqHHTJZdcUm51K8xLMtudAAECBAgQIECAAIFNCTgOAQIECBAgQIAAAQIECBAg0L7AjpbwggsuKDfeeGMZF3fNssRlb3e725Va69pKILK7NloJEyBAgAABAgQIECBAgMCmBRyPAAECBAgQIECAAAECBAgQaF9gnSUUQF+nrrQJECBAgAABAgQIECBAgMDsArYkQIAAAQIECBAgQIAAAQIEtiywgQD6lkvo8AQIECBAgAABAgQIECBAgMAGBByCAAECBAgQIECAAAECBAjsv4AA+mnn0HoCBAgQIECAAAECBAgQIECgfQElJECAAAECBAgQIECAAAECtwgIoN+C0PL/ykaAAAECBAgQIECAAAECBAi0L6CEBAgQIECAAAECBAgQILAaAQH01ThKZT0CUiVAgAABAgQIECBAgAABAgTaF1BCAgQIECBAgAABAgQI7IyAAPrOnAoZaU9AiQgQIECAAAECBAgQIECAAIH2BZSQAAECBAgQIECAAIGWBATQWzqbykJglQLSIkCAAAECBAgQIECAAAECBNoXUEICBAgQIECAAAECBE4ICKCf4PCGAIFWBJSDAAECBAgQIECAAAECBAgQaF9ACQkQIECAAAECBAisWkAAfdWi0iNAgMDyAlIgQIAAAQIECBAgQIAAAQIE2hdQQgIECBAgQIAAgR0UEEDfwZMiSwQIENhvAbknQIAAAQIECBAgQIAAAQIE2hdQQgIECBAgQIBAmwIC6G2eV6UiQIAAgUUF7EeAAAECBAgQIECAAAECBAi0L6CEBAgQIECAAIEJAgLoE2AsJkCAAAEC+yggzwQIECBAgAABAgQIECBAgED7AkpIgAABAgQIrE9AAH19tlImQIAAAQIE5hOwNQECBAgQIECAAAECBAgQINC+gBISIECAAIGdFhBA3+nTI3MECBAgQIDA/gjIKQECBAgQIECAAAECBAgQINC+gBISIECAQOsCAuitn2HlI0CAAAECBAjMImAbAgQIECBAgAABAgQIECBAoH0BJSRAgACBUwUE0E8lsgEBAgQIECBAgMCuC8gfAQIECBAgQIAAAQIECBAg0L6AEhIgQGATAgLom1B2DAIECBAgQIAAAQKTBawhQIAAAQIECBAgQIAAAQIE2hdQQgIE9kRAAH1PTpRsEiBAgAABAgQIENhNAbkiQIAAAQIECBAgQIAAAQIE2hdQQgKHIyCAfjjnWkkJECBAgAABAgQIEBgV8J4AAQIECBAgQIAAAQIECBBoX0AJCcwhIIA+B5ZNCRAgQIAAAQIECBAgsEsC8kKAAAECBAgQIECAAAECBAi0L6CEmxUQQN+st6MRIECAAAECBAgQIECAwJGAfwkQIECAAAECBAgQIECAAIH2BfauhALoe3fKZJgAAQIECBAgQIAAAQIEti8gBwQIECBAgAABAgQIECBAgECLAicD6C2WUJkIECBAgAABAgQIECBAgACBkwLeESBAgAABAgQIECBAgAABAmMFmgqgjy2hhQQIECBAgAABAgQIECBAgEBTAgpDgAABAgQIECBAgAABAgTWJSCAvi7Z+dO1BwECBAgQIECAAAECBAgQINC+gBISIECAAAECBAgQIECAwA4LCKDv8MnZr6zJLQECBAgQIECAAAECBAgQINC+gBISIECAAAECBAgQIECgbQEB9LbPr9LNKmA7AgQIECBAgAABAgQIECBAoH0BJSRAgAABAgQIECBAgMApAgLopwBZTWAfBOSRAAECBAgQIECAAAECBAgQaF9ACQkQIECAAAECBAgQWL+AAPr6jR2BAIHpAtYSIECAAAECBAgQIECAAAEC7QsoIQECBAgQIECAAIG9EBBA34vTJJMECOyugJwRIECAAAECBAgQIECAAAEC7QsoIQECBAgQIECAwKEICKAfyplWTgIECIwTsIwAAQIECBAgQIAAAQIECBBoX0AJCRAgQIAAAQIEZhYQQJ+ZavyG733ve8sVV1wxcbrhhhvG72gpAQIECCwtIAECBAgQIECAAAECBAgQIECgfQElJECAAAECBA5H4IMf/GC5wx3uMDH2mrjsNddcs1YQAfQlee985zuX973vfROniy66aMkj2J0AAQIEGhVQLAIECBAgQIAAAQIECBAgQKB9ASUkQIAAAQIE5hC4/PLLy3XXXTcx9pq47J3udKc5Upx/UwH0+c3sQYAAAQIECBQEBAgQIGWjTrYAABAASURBVECAAAECBAgQIECAQPsCSkiAAAECBA5PQAD98M65EhMgQIAAAQIECBAgQIAAAQIECBAgQIAAgfYFlJAAAQIECCwgIIC+AJpdCBAgQIAAAQLbFHBsAgQIECBAgAABAgQIECBAoH0BJSRAgACB7QgIoG/H3VEJECBAgAABAocqoNwECBAgQIAAAQIECBAgQIBA+wJKSIAAgb0VEEDf21Mn4wQIECBAgAABApsXcEQCBAgQIECAAAECBAgQIECgfQElJEDgkAUE0A/57Cs7AQIECBAgQIDAYQkoLQECBAgQIECAAAECBAgQINC+gBISILCUgAD6Unx2JkCAAAECBAgQIEBgUwKOQ4AAAQIECBAgQIAAAQIECLQvoIQEti0ggL7tM+D4BAgQIECAAAECBAgcgoAyEiBAgAABAgQIECBAgAABAu0LKGEDAgLoDZxERSBAgAABAgQIECBAgMB6BaROgAABAgQIECBAgAABAgQItC+ghBEQQI+CiQABAgQIECBAgAABAgTaFVAyAgQIECBAgAABAgQIECBAoH2BFZVQAH1FkJIhQIAAAQIECBAgQIAAAQLrEJAmAQIECBAgQIAAAQIECBAgsDmBbQXQN1dCRyJAgAABAgQIECBAgAABAgS2JeC4BAgQIECAAAECBAgQIEBgrwQE0Bc6XXYiQIAAAQIECBAgQIAAAQIE2hdQQgIECBAgQIAAAQIECBA4NAEB9EM74ymviQABAgQIECBAgAABAgQIEGhfQAkJECBAgAABAgQIECBAYG4BAfS5yeywbQHHJ0CAAAECBAgQIECAAAECBNoXUEICBAgQIECAAAECBAhsQ0AAfRvqjnnIAspOgAABAgQIECBAgAABAgQItC+ghAQIECBAgAABAgQI7KmAAPqenjjZJrAdAUclQIAAAQIECBAgQIAAAQIE2hdQQgIECBAgQIAAAQKHKyCAfrjnXskJHJ6AEhMgQIAAAQIECBAgQIAAAQLtCyghAQIECBAgQIAAgSUEBNCXwLMrAQIENingWAQIECBAgAABAgQIECBAgED7AkpIgAABAgQIECCwXQEB9O36OzoBAgQORUA5CRAgQIAAAQIECBAgQIAAgfYFlJAAAQIECBAgsPcCAuh7fwoVgAABAgTWL+AIBAgQIECAAAECBAgQIECAQPsCSkiAAAECBAgQKEUA3aeAAAECBAi0LqB8BAgQIECAAAECBAgQIECAQPsCSkiAAAECBAisREAAfSWMEiFAgAABAgTWJSBdAgQIECBAgAABAgQIECBAoH0BJSRAgAABArsiIIC+K2dCPggQIECAAIEWBZSJAAECBAgQIECAAAECBAgQaF9ACQkQIECgIQEB9IZOpqIQIECAAAECBFYrIDUCBAgQIECAAAECBAgQIECgfQElJECAAIG+gAB6X8M8AQIECBAgQIBAOwJKQoAAAQIECBAgQIAAAQIECLQvoIQECBBYsYAA+opBJUeAAAECBAgQIEBgFQLSIECAAAECBAgQIECAAAECBNoXUEICBHZPQAB9986JHBEgQIAAAQIECBDYdwH5J0CAAAECBAgQIECAAAECBNoXUEICTQoIoDd5WhWKAAECBAgQIECAAIHFBexJgAABAgQIECBAgAABAgQItC+ghATGCwigj3exlAABAgQIECBAgAABAvspINcECBAgQIAAAQIECBAgQIBA+wJKuDYBAfS10UqYAAECBAgQIECAAAECBOYVsD0BAgQIECBAgAABAgQIECDQvsAul1AAfZfPjrwRIECAAAECBAgQIECAwD4JyCsBAgQIECBAgAABAgQIECCw5wIzBND3vIRrzv573vOecsc73nHi9LGPfWzNOZA8AQIECBAgQIAAAQIECBBYhYA0CBAgQIAAAQIECBAgQIDAdgVuvPHGcvnll0+Mvd7+9rcvf/EXf7HWTLYfQF8rXyl3uctdyrXXXjtxuvjii9ecA8kTIECAAAECBAgQIECAAAECBQEBAgQIECBAgAABAgQI7L3AhRdeWD74wQ9OjL3+5V/+5TC4vs6CCqCvU3cFaUuCAAECBAgQIECAAAECBAgQaF9ACQkQIECAAAECBAgQIEBgNoELLrhgtg0X3EoAfUE4u80kYCMCBAgQIECAAAECBAgQIECgfQElJECAAAECBAgQIECAQDMCAujNnEoFWb2AFAkQIECAAAECBAgQIECAAIH2BZSQAAECBAgQIECAAAEC5wQE0M9ZmCPQloDSECBAgAABAgQIECBAgAABAu0LKCEBAgQIECBAgAABAisVEEBfKafECBBYlYB0CBAgQIAAAQIECBAgQIAAgfYFlJAAAQIECBAgQIDArgkIoO/aGZEfAgRaEFAGAgQIECBAgAABAgQIECBAoH0BJSRAgAABAgQIEGhQQAC9wZOqSAQIEFhOwN4ECBAgQIAAAQIECBAgQIBA+wJKSIAAAQIECBAgME5AAH2cimUECBAgsL8Cck6AAAECBAgQIECAAAECBAi0L6CEBAgQIECAAIE1CQigrwlWsgQIECBAYBEB+xAgQIAAAQIECBAgQIAAAQLtCyghAQIECBAgsLsCAui7e27kjAABAgQI7JuA/BIgQIAAAQIECBAgQIAAAQLtCyghAQIECBBoWkAAvenTq3AECBAgQIDA7AK2JECAAAECBAgQIECAAAECBNoXUEICBAgQIDBdQAB9uo+1BAgQIECAAIH9EJBLAgQIECBAgAABAgQIECBAoH0BJSRAgACBtQsIoK+d2AEIECBAgAABAgROE7CeAAECBAgQIECAAAECBAgQaF9ACQkQILAPAgLo+3CW5JEAAQIECBAgQGCXBeSNAAECBAgQIECAAAECBAgQaF9ACQkQOBABAfQDOdGKSYAAAQIECBAgQGC8gKUECBAgQIAAAQIECBAgQIBA+wJKSIDArAIC6LNK2Y4AAQIECBAgQIAAgd0TkCMCBAgQIECAAAECBAgQIECgfQElJLBBAQH0DWI7FAECBAgQIECAAAECBPoC5gkQIECAAAECBAgQIECAAIH2BZRwvwQE0PfrfMktAQIECBAgQIAAAQIEdkVAPggQIECAAAECBAgQIECAAIH2BQ6uhALoB3fKFZgAAQIECBAgQIAAAQIESmFAgAABAgQIECBAgAABAgQItC8wfwkF0Oc3swcBAgQIECBAgAABAgQIENiugKMTIECAAAECBAgQIECAAAECaxHYqQD6WkooUQIECBAgQIAAAQIECBAgQGCnBGSGAAECBAgQIECAAAECBAjsqoAA+urOjJQIECBAgAABAgQIECBAgACB9gWUkAABAgQIECBAgAABAgQaFhBAb/jkzlc0WxMgQIAAAQIECBAgQIAAAQLtCyghAQIECBAgQIAAAQIECEwTEECfpmPd/gjIKQECBAgQIECAAAECBAgQINC+gBISIECAAAECBAgQIEBgzQIC6GsGljyBWQRsQ4AAAQIECBAgQIAAAQIECLQvoIQECBAgQIAAAQIECOy+gAD67p8jOSSw6wLyR4AAAQIECBAgQIAAAQIECLQvoIQECBAgQIAAAQIEDkJAAP0gTrNCEiAwWcAaAgQIECBAgAABAgQIECBAoH0BJSRAgAABAgQIECAwm4AA+mxOtiJAgMBuCsgVAQIECBAgQIAAAQIECBAg0L6AEhIgQIAAAQIECGxMQAB9Y9QORIAAAQKjAt4TIECAAAECBAgQIECAAAEC7QsoIQECBAgQIEBgnwQE0PfpbMkrAQIECOySgLwQIECAAAECBAgQIECAAAEC7QsoIQECBAgQIHBgAgLoB3bCFZcAAQIECBwJ+JcAAQIECBAgQIAAAQIECBBoX0AJCRAgQIAAgXkFBNDnFbM9AQIECBAgsH0BOSBAgAABAgQIECBAgAABAgTaF1BCAgQIECCwBQEB9CXQz549W66//vpy4YUXllvf+tbnTVn+4Q9/uGS7JQ5jVwIECBAgQKAxAcUhQIAAAQIECBAgQIAAAQIE2hdQQgIECBCYX+Dmm28uF1xwwXlx1y4Wm/jrX/3VX82f8Bx7CKDPgTW6aa213OpWtyo33nhj+cQnPnHelOU5wbXW4j8CBAgQIECAQCMCikGAAAECBAgQIECAAAECBAi0L6CEBAgQ2IpAYq833XTTeXHXLhab+OvFF1+81rwJoC/Je+mll05N4ZJLLpm63koCBAgQIECAAIFNCjgWAQIECBAgQIAAAQIECBAg0L6AEhIg0LJAOjCvs3wC6OvUlTYBAgQIECBAgACBVQpIiwABAgQIECBAgAABAgQIEGhfQAkJENiqgAD6VvkdnAABAgQIECBAgMDhCCgpAQIECBAgQIAAAQIECBAg0L6AEhLYdwEB9H0/g/JPYE8Eaq2lVlOtDGplUCuDWhnUyqBWBrUyqHVvDDzLOFc+Az4DPgM+Az4DPgM+Az4DPgM+Az4DC34G9qQaWzYJRMBEoAig+xAQIECAAAECBAgQIECgeQEFJECAAAECBAgQIECAAAECBNoXUMJVCAigr0JRGgQIECBAgAABAgQIECCwPgEpEyBAgAABAgQIECBAgAABAu0L7EgJBdB35ETIBgECBAgQIECAAAECBAi0KaBUBAgQIECAAAECBAgQIECAwP4ILBpA358SyikBAjslcPbs2WJi4DPgM+Az4DPgM+Az4DPgM+AzsDefAc/vvsP4DPgM+Az4DPgM+Az4DPgMLPQZ2KmKaZkhQIDAHAIHGkCfQ8imBAgQIECAAAECBAgQIECAwJ4KyDYBAgQIECBAgAABAgQIEJhPQAB9Pq/d2FouCBAgQIAAAQIECBAgQIAAgfYFlJAAAQIECBAgQIAAAQIENi4ggL5xcgckQIAAAQIECBAgQIAAAQIECLQvoIQECBAgQIAAAQIECBDYRwEB9H08a/K8TQHHJkCAAAECBAgQIECAAAECBNoXUEICBAgQIECAAAECBA5UQAD9QE+8Yh+qgHITIECAAAECBAgQIECAAAEC7QsoIQECBAgQIECAAAECiwoIoC8qZz8CBDYv4IgECBAgQIAAAQIECBAgQIBA+wJKSIAAAQIECBAgQGCLAgLoW8R3aAIEDktAaQkQIECAAAECBAgQIECAAIH2BZSQAAECBAgQIEBgvwUE0Pf7/Mk9AQIENiXgOAQIECBAgAABAgQIECBAgED7AkpIgAABAgQIEDh4AQH0g/8IACBAgMAhCCgjAQIECBAgQIAAAQIECBAg0L6AEhIgQIAAAQIElhcQQF/eUAoECBAgQGC9AlInQIAAAQIECBAgQIAAAQIE2hdQQgIECBAgQGAnBATQd+I0yAQBAgQIEGhXQMkIECBAgAABAgQIECBAgACB9gWUkAABAgQItCIggN7KmVQOAgQIECBAYB0C0iRAgAABAgQIECBAgAABAgTaF1BCAgQIECBwLCCAfkxhhgABAgQIECDQmoDyECBAgAABAgQIECAbxARtAAAQAElEQVRAgAABAu0LKCEBAgQIrFJAAH2VmtIiQIAAAQIECBBYnYCUCBAgQIAAAQIECBAgQIAAgfYFlJAAAQI7JiCAvmMnRHYIECBAgAABAgTaEFAKAgQIECBAgAABAgQIECBAoH0BJSRAoD0BAfT2zqkSESBAgAABAgQIEFhWwP4ECBAgQIAAAQIECBAgQIBA+wJKSIDAGAEB9DEoFhEgQIAAAQIECBAgsM8C8k6AAAECBAgQIECAAAECBAi0L6CEBNYjIIC+HlepEiBAgAABAgQIECBAYDEBexEgQIAAAQIECBAgQIAAAQLtCyjhzgoIoO/sqZExAgQIECBAgAABAgQI7J+AHBMgQIAAAQIECBAgQIAAAQLtC7RcQgH0ls+ushEgQIAAAQIECBAgQIDAPAK2JUCAAAECBAgQIECAAAECBNoXmFpCAfSpPFYSIECAAAECBAgQIECAAIF9EZBPAgQIECBAgAABAgQIECBAYFmB3Q+gL1tC+xMgQIAAAQIECBAgQIAAAQK7LyCHBAgQIECAAAECBAgQIEBgBwQE0Nd8EiRPgAABAgQIECBAgAABAgQItC+ghAQIECBAgAABAgQIECDQhoAAehvncV2lkC4BAgQIECBAgAABAgQIECDQvoASEiBAgAABAgQIECBAgMAnBQTQPwmx6MtNN900ddfT1k/d2colBexOgAABAgQIECBAgAABAgQItC+ghAQIECBAgAABAgQIEFidgAD6kpbXXXddueyyy8rtbne7sdPHP/7xIoi+JPKh7q7cBAgQIECAAAECBAgQIECAQPsCSkiAAAECBAgQIECAwLHA9ddfXy655JKxcdcuHnvttdeWdf4ngL6k7hVXXFFyIj/wgQ+UcVNO8AUXXLDkUexOYP8E5JgAAQIECBAgQIAAAQIECBBoX0AJCRAgQIAAAQIECKxSIB2XP/rRj46Nu3ax2Dve8Y6rPOR5aQmgn0diAQECBAoCAgQIECBAgAABAgQIECBAoH0BJSRAgAABAgQIECBwnoAA+nkkFhAgQGDfBeSfAAECBAgQIECAAAECBAgQaF9ACQkQIECAAAECBNYhIIC+DlVpEiBAgMDiAvYkQIAAAQIECBAgQIAAAQIE2hdQQgIECBAgQIDAjgoIoO/oiZEtAgQIENhPAbkmQIAAAQIECBAgQIAAAQIE2hdQQgIECBAgQKBdAQH0ds+tkhEgQIAAgXkFbE+AAAECBAgQIECAAAECBAi0L6CEBAgQIECAwBQBAfQpOFYRIECAAAEC+yQgrwQIECBAgAABAgQIECBAgED7AkpIgAABAgTWKyCAvl5fqRMgQIAAAQIEZhOwFQECBAgQIECAAAECBAgQINC+gBISIECAwM4LCKDv/CmSQQIECBAgQIDA7gvIIQECBAgQIECAAAECBAgQINC+gBISIEDgEAQE0A/hLCsjAQIECBAgQIDANAHrCBAgQIAAAQIECBAgQIAAgfYFlJAAAQIzCQigz8RkIwIECBAgQIAAAQK7KiBfBAgQIECAAAECBAgQIECAQPsCSkiAwKYEBNA3Je04BAgQIECAAAECBAicL2AJAQIECBAgQIAAAQIECBAg0L6AEhLYIwEB9D06WbJKgAABAgQIECBAgMBuCcgNAQIECBAgQIAAAQIECBAg0L6AEh6WgAD6YZ1vpSVAgAABAgQIECBAgEAn4JUAAQIECBAgQIAAAQIECBBoX0AJ5xQQQJ8TzOYECBAgQIAAAQIECBAgsAsC8kCAAAECBAgQIECAAAECBAi0L7D5Egqgb97cEQkQIECAAAECBAgQIEDg0AWUnwABAgQIECBAgAABAgQIENhJgZUG0HeyhDJFgAABAgQIECBAgAABAgQIrFRAYgQIECBAgAABAgQIECBAoFUBAfRzZ9YcAQIECBAgQIAAAQIECBAg0L6AEhIgQIAAAQIECBAgQIAAgYkCAugTafZthfwSIECAAAECBAgQIECAAAEC7QsoIQECBAgQIECAAAECBAisU0AAfZ260p5dwJYECBAgQIAAAQIECBAgQIBA+wJKSIAAAQIECBAgQIAAgR0XEEDf8RMke/shIJcECBAgQIAAAQIECBAgQIBA+wJKSIAAAQIECBAgQIBA+wIC6O2fYyUkcJqA9QQIECBAgAABAgQIECBAgED7AkpIgAABAgQIECBAgMAMAgLoMyDZhACBXRaQNwIECBAgQIAAAQIECBAgQKB9ASUkQIAAAQIECBAgsBkBAfTNODsKAQIExgtYSoAAAQIECBAgQIAAAQIECLQvoIQECBAgQIAAAQJ7IyCAvjenSkYJECCwewJyRIAAAQIECBAgQIAAAQIECLQvoIQECBAgQIAAgUMSEEA/pLOtrAQIECDQFzBPgAABAgQIECBAgAABAgQItC+ghAQIECBAgACBuQQE0OfisjEBAgQIENgVAfkgQIAAAQIECBAgQIAAAQIE2hdQQgIECBAgQGDTAgLomxZ3PAIECBAgQKAUBgQIECBAgAABAgQIECBAgED7AkpIgAABAgT2UEAAfQ9PmiwTIECAAAEC2xVwdAIECBAgQIAAAQIECBAgQKB9ASUkQIAAgcMUEEA/zPOu1AQIECBAgMDhCig5AQIECBAgQIAAAQIECBAg0L6AEhIgQIDAggIC6AvC2Y0AAQIECBAgQGAbAo5JgAABAgQIECBAgAABAgQItC+ghAQIENiegAD69uwdmQABAgQIECBA4NAElJcAAQIECBAgQIAAAQIECBBoX0AJCRDYawEB9L0+fTJPgAABAgQIECBAYHMCjkSAAAECBAgQIECAAAECBAi0L6CEBA5dQAB9yU/Au9/97nKnO91p4vTRj350ySPYnQABAgQIECBAgACBFQhIggABAgQIECBAgAABAgQIEGhfQAn3XOD//b//Vy677LKJsdfEZd/73veutZQC6Evy3vWudy3XXHPNxOmSSy5Z8gh2J0CAAAECBAgQIEBgHoFaa6l18jRPWruz7eSc1Dq+rOP2qHX2bcftvy/Laj2/nP2813pufX/5rs/Xei7ftc4+v+vlkr/NCtR6/mdnszlwNAIECBAgQIAAAQIEJgtYc9vb3rZcf/31E2Ovicve+c53XiuUAPpaeSVOgAABAgQIECBAgAABAgUBAQIECBAgQIAAAQIECBAg0L5AIyUUQG/kRCoGAQIECBAgQIAAAQIECKxHQKoECBAgQIAAAQIECBAgQIBA+wJdCQXQOwmvBAgQIECAAAECBAgQIECgPQElIkCAAAECBAgQIECAAAECBOYQ2NMA+hwltCkBAgQIECBAgAABAgQIHKTA2bNnSzfVeu53n/cNo9ajvPfz3ZVr0mt/21qP9q+19hfvybxsEiBAgAABAgQIECBAgACBzQoIoG/W++ho/iVAgAABAgQIECBAgAABAgTaF1BCAgQIECBAgAABAgQIENg7AQH0vTtl28+wHBAgQIAAAQIECBAgQIAAAQLtCyghAQIECBAgQIAAAQIEDlFAAP0Qz/phl1npCRAgQIAAAQIEGhSotZZaj6Z+8brhrfvLaj3artbaX3wQ853H6Gtrhe/K1y9Xt2z0tb9NS/Oj5ezet1RGZSFwioDVBAgQIECAAAECBAgQWEhAAH0hNjsR2JaA4xIgQIAAAQIECBAgQIAAAQLtCyghAQIECBAgQIAAAQLbEhBA35a84xI4RAFlJkCAAAECBAgQIECAAAECBNoXUEICBAgQIECAAAECeywggL7HJ0/WCRDYrICjESBAgAABAgQIECBAgAABAu0LKCEBAgQIECBAgMBhCwigH/b5V3oCBA5HQEkJECBAgACBGQVqraXW86fTdq/1/H1qrWN3q7WOPUat5y8fm8CCC2s9P/1a61yp1VrXkvdaZ0t3lszWOltatdZZkjvepta6lrIfH2COmVrP5WWO3U7dtNZz6dY6ff60xGodv3+3X63T13fb5bXW2bfN9qdNtY5Pr9bzly+SVn+fWudP87T9az0/zVprfzfzBAgcroCSEyBAgAABAgQILCkggL4koN0JECBAYBMCjkGAAAECBAgQIECAAAECBAi0L6CEBAgQIECAAIHtCwigb/8cyAEBAgQItC6gfAQIECBAgAABAgQIECBAgED7AkpIgAABAgQINCEggN7EaVQIAgQIECCwPgEpEyBAgAABAgQIECBAgAABAu0LKCEBAgQIECBwJCCAfuTgXwIECBAgQKBNAaUiQIDAzgjUWkutR9PZs2fLtKmf6VqP9qm19hdvdL7WulTeJ2W21nPpdttMcunW13r+PllX67nlk9Lolmf7bqr1aL/u/ehrrUfra63Hq7p0Rl+PN7hlptY6NLtldun/u+NMSqjWo2PVeu510rbjltc6fr/uuP3X/v61jt+vv824+VqP9psl3Vpn33bcsfrLaj1Kq9Y69e8v+Rq3X3/ZafO1jj9Wt1+t59Z3y0Zfaz3aJvk5ber2rfVon1prt8grAQIECBA4FAHlJECAAAECKxMQQF8ZpYQIECBAgAABAqsWkB4BAgQIECBAgAABAgQIECDQvoASEiBAgMAuCQig79LZkBcCBAgQIECAQEsCykKAAAECBAgQIECAAAECBAi0L6CEBAgQaExAAL2xE6o4BAgQIECAAAECqxGQyu4L1FqHQ2TXWk9ktj/Ucbdi3LKsq7Wel8Y829Z6/v5Jd1wa45Zl21rPpVHr0XyW79I0Lu+1HuW11pOv68p3Pw/dfP9Y3bK8dstrPZm3Wo/ed+v37TVl66bT8l7rUVlrradtuvH1s5YhGZtn22w/berSymu3Xa31+BpQ67n5bv2irzlGNy2bRn//Ws/lsdZz8/1tzBMgQIAAAQIECMwnYGsCBAiMCgigj4p4T4AAAQIECBAgQGD/BZSAAAECBAgQIECAAAECBAgQaF9ACQkQWIOAAPoaUCVJgAABAgQIECBAgMAyAvYlQIAAAQIECBAgQIAAAQIE2hdQQgK7KSCAvpvnRa4IECBAgAABAgQIENhXAfkmQIAAAQIECBAgQIAAAQIE2hdQwmYFBNCbPbUKRoAAAQIECBAgQIDArgrUOv63i5f9zeRVlPe0NGo9ynt/uy7fee0v39Z8rbufx2VtYj1uGpdurUcetdZxqycuq7WWWk9OEzfesxW1HpWrn+2+Z3/5tudrPcprrfVEVnY1vycy6Q0BAgQIECBAgAABAjsrIGOTBQTQJ9tYQ4AAAQIECBAgQIAAAQL7JSC3BAgQIECAAAECBAgQIECAQPsCay2hAPpaeSVOgAABAgQIECBAgAABAgRmFbAdAQIECBAgQIAAAQIECBAgsG2B9QfQt11CxydAgAABAgQIECBA4KAEaq3nDTtd67ll28KodXwe9mEY5lrPz/uu5bvW3c/jJj573XlZxbG6tGZ5HR5vx/+pdb8+I7Ue5bfP2j8X/eXmCRAgQIAAAQIECBAgQGB1AgLop1haTYAAAQIEFXtcqgAAEABJREFUCBAgQIAAAQIECLQvoIQECBAgQIAAAQIECBAgQCACAuhRaHdSMgIECBAgQIAAAQIECBAgQKB9ASUkQIAAAQIECBAgQIAAgRUJCKCvCFIy6xCQJgECBAgQIECAAAECBAgQINC+gBISIECAAAECBAgQIEBgdwQE0HfnXMhJawLKQ4AAAQIECBAgsBaBWqf/LnD/N4JPm+9nsNbp6S66bX8/84sL1Hp0fmo997p4avu1Z63nylzr0fy2SlDr0fFrPfm6rfw4LoGdEJAJAgQIECBAgAABAgSaEhBAb+p0KgyB1QlIiQABAgQIECBAgAABAgQIEGhfQAkJECBAgAABAgQIEDgpIIB+0sM7AgTaEFAKAgQIECBAgAABAgQIECBAoH0BJSRAgAABAgQIECCwcgEB9JWTSpAAAQLLCtifAAECBAgQIECAAAECBAgQaF9ACQkQIECAAAECBHZRQAB9ibNy8803l/e///3lsssumzh99KMfLZ/4xCeWOIpdCRAgsGcCskuAAAECBAiMFTh79mzppv4GtdZS68mpv34X5rt857XLT60n81zr0ftu/SyvSa+buu1rPUqn1pOv3fpu+7x2y/Ka992U95lqPZlGrUfvs27WqUszr90+tR6lU+vJ1259XrN9pswvOyWdTP10aj157FpPvu9vm327qb+8m+/W5bVbltdaT6ZZa83i4ynbd9Pxwh2e6fKa1y6btdbz/v5qrd3qrb4mn5n6mai17mx++/k0T4DAgQgoJgECBAgQIEBgDQI33HBDuc1tbjMx9nrppZeW6667bg1HPpekAPo5i7nnbnWrW5Xb3va25frrr584ZZtb3/rWc6dtBwIECBDYjoCjEiBAgAABAgQIECBAgAABAu0LKCEBAgQIECCwmwIXXXRR+fCHPzwx9vqhD32o3O52t1tr5gXQl+S95JJLpqaQkzx1AysJECBAgMDqBKREgAABAgQIECBAgAABAgQItC+ghAQIECBA4KAFLrjggrWWXwB9rbwSJ0CAAAECBGYXsCUBAgRmE8iQxqPTbHuev9VoOnl//lZHS7Ju2nS01Wz/Tktn2rpxqU/aftltx+2fZZOON2159jtt6vaftN1p6/v7ddvO89rff9L8qtObdJxJy+c5fn/bSemNW97f77T5cfv3l03av79NN7+ubbv0R18nHW/a8tE0uvfj9unWjb7Os22377h9ZlnW7T/6Om7f0W28J0CAAAEC6xWQOgECBAgQ2G0BAfTdPj9yR4AAAQIECOyLgHwSIECAAAECBAgQIECAAAEC7QsoIQECBAg0LyCA3vwpVkACBAgQIECAwOkCtiBAgAABAgQIECBAgAABAgTaF1BCAgQIEDhdQAD9dCNbECBAgAABAgQI7LaA3BEgQIAAAQIECBAgQIAAAQLtCyghAQIENiIggL4RZgchQIAAAQIECBAgMEnAcgIE+gJnz54t3dRfbp4AAQIECBAgQIAAAQL7LSD3BAjsi4AA+r6cKfkkQIAAAQIECBAgsIsC8kSAAAECBAgQIECAAAECBAi0L6CEBA5IQAD9gE62ohIgQIAAAQIECBAgcFLAOwIECBAgQIAAAQIECBAgQKB9ASUkMI+AAPo8WrYlQIAAAQIECBAgQIDA7gg0lZNaa6n15NQN5Z7XpgqrMAQIECBAgAABAgQIECBAYHYBW25YQAB9w+AOR4AAAQIECBAgQIAAAQIRMBEgQIAAAQIECBAgQIAAAQLtC+xfCQXQ9++cyTEBAgQIECBAgAABAgQIbFvA8QkQIECAAAECBAgQIECAAIEmBU4E0JssoUIRIECAAAECBAgQIECAAAECJwS8IUCAAAECBAgQIECAAAECBMYLtBRAH19CSwkQIECAAAECBAgQIEBg5wXyO+ej085nWga3JeC4BAgQIECAAAECBAgQIEBgbQIC6GujnTdh2xMgQIAAAQIECBAgQIAAAQLtCyghAQIECBAgQIAAAQIECOyygAD6Lp+dfcqbvBIgQIAAAQIECBAgQIAAAQLtCyghAQIECBAgQIAAAQIEGhcQQG/8BCvebAK2IkCAAAECBAgQIECAAAECBNoXUEICBAgQIECAAAECBAicJiCAfpqQ9QR2X0AOCRAgQIAAAQIECBAgQIAAgfYFlJAAAQIECBAgQIAAgQ0ICKBvANkhCBCYJmAdAQIECBAgQIAAAQIECBAg0L6AEhIgQIAAAQIECBDYDwEB9P04T3JJgMCuCsgXAQIECBAgQIAAAQIECBAg0L6AEhIgQIAAAQIECByMgAD6wZxqBSVAgMD5ApYQIECAAAECBAgQIECAAAEC7QsoIQECBAgQIECAwOwCAuizW9mSAAECBHZLQG4IECBAgAABAgQIECBAgACB9gWUkAABAgQIECCwUQEB9I1yOxgBAgQIEOgEvBIgQIAAAQIECBAgQIAAAQLtCyghAQIECBAgsG8CAuj7dsbklwABAgQI7IKAPBAgQIAAAQIECBAgQIAAAQLtCyghAQIECBA4QAEB9AM86YpMgAABAgQOXUD5CRAgQIAAAQIECBAgQIAAgfYFlJAAAQIECCwiIIC+iJp9CBAgQIAAAQLbE3BkAgQIECBAgAABAgQIECBAoH0BJSRAgACBLQkIoG8J3mEJECBAgAABAocpoNQECBAgQIAAAQIECBAgQIBA+wJKSIAAgf0VEEDf33Mn5wQIECBAgAABApsWcDwCBAgQIECAAAECBAgQIECgfQElJEDgoAUE0A/69Cs8AQIECBAgQIDAIQkoKwECBAgQIECAAAECBAgQINC+gBISILCcgAD6cn72JkCAAAECBAgQIEBgMwKOQoAAAQIECBAgQIAAAQIECLQvoIQEti4ggL71UyADBAgQIECAAAECBAi0L6CEBAgQIECAAAECBAgQIECAQPsCStiCgAB6C2dRGQgQIECAAAECBAgQILBOAWkTIECAAAECBAgQIECAAAEC7Qso4VBAAH3I4B8CBAgQIECAAAECBAgQaFVAuQgQIECAAAECBAgQIECAAIH2BVZVQgH0JSVvuummqSnccMMNU9dbSYAAAQIECBAgQIAAAQIEpghYRYAAAQIECBAgQIAAAQIECPQEPvKRj/TerX52SwH01RdkWyl+6EMfKhdddFG5+OKLx04333xzybSt/DkuAQIECBAgQIAAAQIECBDYnoAjEyBAgAABAgQIECBAgACB2QXSefnCCy8cG3dNPDZx2Y997GPl7NmzZV3/CaAvItvb5/LLLy/pZZ4TNW665JJLyq1uhblHZpYAAQIECBAgQIAAAQIECOyHgFwSIECAAAECBAgQIECAwEYFLrjggnLjjTeWcXHXLEtc9na3u12pta4tXyK7a6Pd3YTljAABAgQIECBAgAABAgQIEGhfQAkJECBAgAABAgQIECBAYH4BAfT5zeyxXQFHJ0CAAAECBAgQIECAAAECBNoXUEICBAgQIECAAAECBAhsRUAAfSvsDnq4AkpOgAABAgQIECBAgAABAgQItC+ghAQIECBAgAABAgQI7KuAAPq+njn5JrANAcckQIAAAQIECBAgQIAAAQIE2hdQQgIECBAgQIAAAQIHLCCAfsAnX9EJHJqA8hIgQIAAAQIECBAgQIAAAQLtCyghAQIECBAgQIAAgWUEBNCX0bMvAQIENifgSAQIECBAgAABAgQIECBAgED7AkpIgAABAgQIECCwZQEB9C2fAIcnQIDAYQgoJQECBAgQIECAAAECBAgQINC+gBISIECAAAECBPZfQAB9/8+hEhAgQIDAugWkT4AAAQIECBAgQIAAAQIECLQvoIQECBAgQIAAgVsEBNBvQfA/AQIECBBoWUDZCBAgQIAAAQIECBAgQIAAgfYFlJAAAQIECBBYjYAA+mocpUKAAAECBAisR0CqBAgQIECAAAECBAgQIECAQPsCSkiAAAECBHZGQAB9Z06FjBAgQIAAAQLtCSgRAQIECBAgQIAAAQIECBAg0L6AEhIgQIBASwIC6C2dTWUhQIAAAQIECKxSQFoECBAgQIAAAQIECBAgQIBA+wJKSIAAAQInBATQT3B4Q4AAAQIECBAg0IqAchAgQIAAAQIECBAgQIAAAQLtCyghAQIEVi0ggL5qUekRIECAAAECBAgQWF5ACgQIECBAgAABAgQIECBAgED7AkpIgMAOCgig7+BJkSUCBAgQIECAAAEC+y0g9wQIECBAgAABAgQIECBAgED7AkpIoE0BAfQ2z6tSESBAgAABAgQIECCwqID9CBAgQIAAAQIECBAgQIAAgfYFlJDABAEB9AkwFhMgQIAAAQIECBAgQGAfBeSZAAECBAgQIECAAAECBAgQaF9ACdcnIIC+PlspEyBAgAABAgQIECBAgMB8ArYmQIAAAQIECBAgQIAAAQIE2hfY6RIKoO/06ZE5AgQIECBAgAABAgQIENgfATklQIAAAQIECBAgQIAAAQIE9l3g9AD6vpdQ/gkQIECAAAECBAgQIECAAIHTBWxBgAABAgQIECBAgAABAgQIlOYD6M4xAQIECBAgQIAAAQIECBAg0L6AEhIgQIAAAQIECBAgQIAAgVUICKCvQnF9aUiZAAECBAgQIECAAAECBAgQaF9ACQkQIECAAAECBAgQIEBgRwQE0HfkRLSZDaUiQIAAAQIECBAgQIAAAQIE2hdQQgIECBAgQIAAAQIECLQjIIDezrlUklULSI8AAQIECBAgQIAAAQIECBBoX0AJCRAgQIAAAQIECBAg0BMQQO9hmCXQkoCyECBAgAABAgQIECBAgAABAu0LKCEBAgQIECBAgAABAqsVEEBfrafUCBBYjYBUCBAgQIAAAQIECBAgQIAAgfYFlJAAAQIECBAgQIDAzgkIoO/cKZEhAgT2X0AJCBAgQIAAAQIECBAgQIAAgfYFlJAAAQIECBAgQKBFAQH0Fs+qMhEgQGAZAfsSIECAAAECBAgQIECAAAEC7QsoIQECBAgQIECAwFgBAfSxLBYSIECAwL4KyDcBAgQIECBAgAABAgQIECDQvoASEiBAgAABAgTWJSCAvi5Z6RIgQIAAgfkF7EGAAAECBAgQIECAAAECBAi0L6CEBAgQIECAwA4LCKDv8MmRNQIECBAgsF8CckuAAAECBAgQIECAAAECBAi0L6CEBAgQIECgbQEB9LbPr9IRIECAAAECswrYjgABAgQIECBAgAABAgQIEGhfQAkJECBAgMApAgLopwCdtvq9731vueKKKyZON9xww2lJWE+AAAECBAgQWFpAAgQIECBAgAABAgQIECBAgED7AkpIgACB1gU++MEPljvc4Q4TY6+Jy15zzTVrZRBAX5L3zne+c3nf+943cbrooouWPILdCRAgQIAAAQLNCyggAQIECBAgQIAAAQIECBAg0L6AEhIgQOBUgcsvv7xcd911E2Ovicve6U53OjWdZTYQQF9Gz74ECBAgQIAAAQIECgICBDO70lsAABAASURBVAgQIECAAAECBAgQIECgfQElJEDgUAQE0A/lTCsnAQIECBAgQIAAgXEClhEgQIAAAQIECBAgQIAAAQLtCyghAQIzCwigz0xlQwIECBAgQIAAAQIEdk1AfggQIECAAAECBAgQIECAAIH2BZSQwCYFBNA3qe1YBAgQIECAAAECBAgQOCdgjgABAgQIECBAgAABAgQIEGhfQAn3TEAAfc9OmOwSIECAAAECBAgQIEBgNwTkggABAgQIECBAgAABAgQIEGhf4PBKKIB+eOdciQkQIECAAAECBAgQIECAAAECBAgQIECAAAECBAgQINC+wAIlFEBfAM0uBAgQIECAAAECBAgQIEBgmwKOTYAAAQIECBAgQIAAAQIECKxHYJcC6OspoVQJECBAgAABAgQIECBAgACBXRKQFwIECBAgQIAAAQIECBAgsLMCAugrOzUSIkCAAAECBAgQIECAAAECBNoXUEICBAgQIECAAAECBAgQaFlAAL3lsztP2WxLgAABAgQIECBAgAABAgQItC+ghAQIECBAgAABAgQIECAwVUAAfSqPlfsiIJ8ECBAgQIAAAQIECBAgQIBA+wJKSIAAAQIECBAgQIAAgXULCKCvW1j6BE4XsAUBAgQIECBAgAABAgQIECDQvoASEiBAgAABAgQIECCwBwIC6HtwkmSRwG4LyB0BAgQIECBAgAABAgQIECDQvoASEiBAgAABAgQIEDgMAQH0wzjPSkmAwCQBywkQIECAAAECBAgQIECAAIH2BZSQAAECBAgQIECAwIwCAugzQtmMAAECuyggTwQIECBAgAABAgQIECBAgED7AkpIgAABAgQIECCwOQEB9M1ZOxIBAgQInBTwjgABAgQIECBAgAABAgQIEGhfQAkJECBAgAABAnslIIC+V6dLZgkQIEBgdwTkhAABAgQIECBAgAABAgQIEGhfQAkJECBAgACBQxMQQD+0M668BAgQIEAgAiYCBAgQIECAAAECBAgQIECgfQElJECAAAECBOYWEECfm8wOBAgQIECAwLYFHJ8AAQIECBAgQIAAAQIECBBoX0AJCRAgQIDANgQE0Leh7pgECBAgQIDAIQsoOwECBAgQIECAAAECBAgQINC+gBISIECAwJ4KCKDv6YmTbQIECBAgQIDAdgQclQABAgQIECBAgAABAgQIEGhfQAkJECBwuAIC6Id77pWcAAECBAgQIHB4AkpMgAABAgQIECBAgAABAgQItC+ghAQIEFhCQAB9CTy7EiBAgAABAgQIENikgGMRIECAAAECBAgQIECAAAEC7QsoIQEC2xUQQN+uv6MTIECAAAECBAgQOBQB5SRAgAABAgQIECBAgAABAgTaF1BCAnsvIIC+96dQAQgQIECAAAECBAgQWL+AIxAgQIAAAQIECBAgQIAAAQLtCyghgVIE0H0KCBAgQIAAAQIECBAg0LqA8hEgQIAAAQIECBAgQIAAAQLtCyjhSgQE0FfCKBECBAgQIECAAAECBAgQWJeAdAkQIECAAAECBAgQIECAAIH2BXalhALou3Im5IMAAQIECBAgQIAAAQIEWhRQJgIECBAgQIAAAQIECBAgQGCPBBYMoO9RCWWVAAECBAgQIECAAAECBAgQWFDAbgQIECBAgAABAgQIECBA4LAEDjOAfljnWGkJECBAgAABAgQIECBAgMBhCig1AQIECBAgQIAAAQIECBCYU0AAfU6wXdhcHggQIECAAAECBAgQIECAAIH2BZSQAAECBAgQIECAAAECBDYvIIC+efNDP6LyEyBAgAABAgQIECBAgAABAu0LKCEBAgQIECBAgAABAgT2UkAAfcnT9p73vKfc8Y53nDh97GMfW/IIdt8tAbkhQIAAAQIECBAgQIAAAQIE2hdQQgIECBAgQIAAAQIEtiFw4403lssvv3xi7PX2t799+Yu/+Iu1Zk0AfUneu9zlLuXaa6+dOF188cVLHsHuBFYoICkCBAgQIECAAAECBAgQIECgfQElJECAAAECBAgQILCnAhdeeGH54Ac/ODH2+pd/+ZfD4Po6iyeAvk5daRMgsFIBiREgQIAAAQIECBAgQIAAAQLtCyghAQIECBAgQIAAgWkCF1xwwbTVS68TQF+aUAIECBCYScBGBAgQIECAAAECBAgQIECAQPsCSkiAAAECBAgQILDnAgLoe34CZZ8AAQKbEXAUAgQIECBAgAABAgQIECBAoH0BJSRAgAABAgQIEBBA9xkgQIAAgfYFlJAAAQIECBAgQIAAAQIECBBoX0AJCRAgQIAAAQIrEBBAXwGiJAgQIECAwDoFpE2AAAECBAgQIECAAAECBAi0L6CEBAgQIECAwG4ICKDvxnmQCwIECBAg0KqAchEgQIAAAQIECBAgQIAAAQLtCyghAQIECBBoRkAAvZlTqSAECBAgQIDA6gWkSIAAAQIECBAgQIAAAQIECLQvoIQECBAgQOCcgAD6OQtzBAgQIECAAIG2BJSGAAECBAgQIECAAAECBAgQaF9ACQkQIEBgpQIC6CvllBgBAgQIECBAgMCqBKRDgAABAgQIECBAgAABAgQItC+ghAQIENg1AQH0XTsj8kOAAAECBAgQINCCgDIQIECAAAECBAgQIECAAAEC7QsoIQECDQoIoDd4UhWJAAEC2xSotZZaJ0+L5q3Wc2kumka3X63n0qp1+ny3T/+11un71Fr7m4+dr7WuxWncwWpd/li1Lp/GuLxZRoDArgrIFwECBAgQIECAAAECBAgQINC+gBISIDBOQAB9nIplBAgQIECAAAECBAjsr4CcEyBAgAABAgQIECBAgAABAu0LKCGBNQkIoK8JVrIECBAgQIAAAQIECBBYRMA+BAgQIECAAAECBAgQIECAQPsCSri7AgLou3tu5IwAAQIECBAgQIAAAQL7JiC/BAgQIECAAAECBAgQIECAQPsCTZdQAL3p06twBAgQ2IxArbXUejSdPXu2TJtqPdqu1npq5mqtx+meuvGCG0zLa9b1k631KD9ZftpU69G24/avtU41Stq1Hu1fa+0nMdd8rXXol/SmTbUebVdrPZF+rXW4f62bye+Jg3tDgAABAgS2IuCgBAgQIECAAAECBAgQIECAQPsC00sogD7dx1oCBAgQIECAAAECBAgQILAfAnJJgAABAgQIECBAgAABAgQILC2w8wH0pUsoAQIECBAgQIAAAQIECBAgQGDnBWSQAAECBAgQIECAAAECBAjsgoAA+nrPgtQJECBwEAL94cGXLXCt44cN39V0l82X/QkQIECAAAECBJoQUAgCBAgQIECAAAECBAgQaERAAL2RE7meYkiVAAECBAgQIECAAAECBAgQaF9ACQkQIECAAAECBAgQIECgExBA7yS8tiegRAQIECBAgAABAgQIECBAgED7AkpIgAABAgQIECBAgACBFQoIoK8QU1IEVikgLQIECBAgQIAAAQIECBAgQKB9ASUkQIAAAQIECBAgQGC3BATQd+t8yA2BVgSUg8BOC9RaS62Tp53OvMwRIECAAAECBAgQIEBgdwTkhAABAgQIECBAgEBzAgLozZ1SBSJAYHkBKRAgQIAAAQIECBAgQIAAAQLtCyghAQIECBAgQIAAgfMFBNDPN7GEAAEC+y0g9wQIECBAgAABAgQIECBAgED7AkpIgAABAgQIECCwFgEB9LWwSpQAAQIEFhWwHwECBAgQIECAAAECBAgQINC+gBISIECAAAECBHZVQAB9V8+MfBEgQKAhgVrP/d742bNnSzf1i1jr0Tbdurz21y87n/RmnWo9ykutdd7D2n4FArXWUuty0zOe8YxiYuAz4DPgM+Az4DPgM+Az4DPgM9DmZ2AFXzskQWBZAfsTIECAAAECDQsIoDd8chWNAAECBAjMJ2BrAgQIECBAgAABAgQIECBAoH0BJSRAgAABAgSmCQigT9OxjgABAgQIENgfATklQIAAAQIECBAgQIAAAQIE2hdQQgIECBAgsGYBAfQ1A0ueAAEChyxQ69Ew3P2h00/zqPVon1pPvvb3q/VoXX+Z+XYE+p+XcfP9kl599dXl6jHTmTNnypk9m+T3jHPmM+sz4DPgM+Az4DPgMzD8DAwGgzLYwnTmzJnh8c943UmH/vcA8wQIENhnAXknQIAAgd0XEEDf/XMkhwQIECBAgACBXReQPwIECBAgQIAAAQIECBAgQKB9ASUkQIDAQQgIoB/EaVZIAgQIECBAgACByQLWECBAgAABAgQIECBAgAABAu0LKCEBAgRmExBAn83JVgQIECBAgAABAgR2U0CuCBAgQIAAAQIECBAgQIAAgfYFlJAAgY0JCKAvQX327Nly/fXXlwsvvLDc+ta3Pm/K8g9/+MMl2y1xGLsSIEBgrwRqraXWoynXv0yzFCDbTZv6aXTb9ZedNl/rUZ5qradtaj0BAgQIbFDAoQgQIECAwGSBs7esWvd0yyH8T4AAAQIECBAgsHYBByAwq8DNN99cLrjggvPirl0sNvHXv/qrv5o1uYW2E0BfiO1op1prudWtblVuvPHG8olPfOK8KctzgmutxX8ECBAgQIAAAQIECDQnoEAECBAgQIAAAQIECBAgQIBA+wJKuEGBxF5vuumm8+KuXSw28deLL754rTkSQF+S99JLL52awiWXXDJ1vZUECBAgQIAAAQIECBDYjoCjEiBAgAABAgQIECBAgAABAu0LtFfCdGBeZ6kE0NepK20CBAgciECt9XjY9n6Raz23vNbz5/vbrnK+1nPH6tLthn3Pa63n1td6/ny26aZu/7x2y2o9f59aTy7rts1+3dQty2utJ7ev9eT7bNNN3f6TXms9t29/m27/Ws+tr/X8+W67vI7bP8trPX+/Ws8tyzbd1E/DPAECBAgQWJuAhAkQIECAAAECBAgQIECAAIH2BbZQQgH0LaA7JAECBAgQIECAAAECBAgctoDSEyBAgAABAgQIECBAgAABArspsMoA+m6WUK4IECBAgAABAgQIECBAgACBVQpIiwABAgQIECBAgAABAgQINCsggH58as0QIECAAAECBAgQIECAAAEC7QsoIQECBAgQIECAAAECBAgQmCwggD7ZZr/WyC0BAgS2KHD27NmyyDRPlvvpn7bfadv214+bnyf9cftn2bJpnLb/POuTn2nTLGlN2z/rZknDNgQIECBAgAABAisQkAQBAgQIECBAgAABAgQIrFVAAH2tvBKfVcB2BAgQIECAAAECBAgQIECAQPsCSkiAAAECBAgQIECAAIFdFxBA3/UzJH/7ICCPBAgQIECAAAECBAgQIECAQPsCSkiAAAECBAgQIECAwAEICKAfwElWRALTBawlQIAAAQIECBAgQIAAAQIE2hdQQgIECBAgQIAAAQIEZhEQQJ9FyTYECOyugJwRIECAAAECBAgQIECAAIE9EDhz5kw5s+VpD5gmZ9EaAgQIECBAgAABAhsSEEDfELTDECBAYJyAZQRUl6fTAAAQAElEQVQIECBAgAABAgQIECBAgED7AkpIgAABAgQIECCwPwIC6PtzruSUAAECuyYgPwQIECBAgAABAgQIECBAgED7AkpIgAABAgQIEDgoAQH0gzrdCkuAAAEC5wTamTt79mzppnZKpSQECBAgQIDALglsa9jpXTKQFwKrFBgMShkMShkMShkMShkMShkMShkMShkMShkMShkMShkMShkMShkMShkMShkMShkMShkMShkMShkMShkMShkMShkMShkMShkMShkMShkMShkMShkMVplzaRHYRwF5JkCAAAECBAjMJyCAPp+XrQkQIECAwG4IyAUBAgQIECBAgAABAgQIECDQvoASEiBAgAABAhsXEEDfOLkDEiBAgAABAgQIECBAgAABAgQIECBAgACB9gWUkAABAgQI7KOAAPo+njV5JkCAAAECBLYp4NgECBAgQIAAAQIECBAgQIBA+wJKSIAAAQIHKiCAfqAnXrEJECBAgACBQxVQbgIECBAgsIzA2Vt2Xvd0yyH8T4AAAQIECBAgsKSA3QkQIEBgUQEB9EXl7EeAAAECBAgQILB5AUckQIAAAQIECBAgQIAAAQIE2hdQQgIECGxRQAB9i/gOTYAAAQIECBAgcFgCSkuAAAECBAgQIECAAAECBAi0L6CEBAjst4AA+n6fP7knQIAAAQIECBAgsCkBxyFAgAABAgQIECBAgAABAgTaF1BCAgcvIIB+8B8BAAQIECBAgAABAgQOQUAZCRAgQIAAAQIECBAgQIAAgfYFlJDA8gIC6MsbSoEAAQIECBAgQIAAAQLrFZA6AQIECBAgQIAAAQIECBAg0L6AEu6EgAD6TpwGmSBAgAABAgQIECBAgEC7AkpGgAABAgQIECBAgAABAgQItC/QSgkF0Fs5k8pBgAABAgQIECBAgAABAusQkCYBAgQIECBAgAABAgQIECDQvsBxCQXQjynMECBAgAABAgQIECBAgACB1gSUhwABAgQIECBAgAABAgQIEJhHYD8D6POU0LYECBAgQIAAAQIECBAgQIDAfgrINQECBAgQIECAAAECBAgQ2LCAAPqGwXM4EwECBAgQIECAAAECBAgQINC+gBISIECAAAECBAgQIECAwP4JCKDv3znbdo4dnwABAgQIECBAgAABAgQIEGhfQAkJECBAgAABAgQIECBwkAIC6Ad52g+50MpOgAABAgQIECBAgAABAgQItC+ghAQIECBAgAABAgQIEFhMQAB9MTd7EdiOgKMSIECAAAECBAgQIECAAAEC7QsoIQECBAgQIECAAAECWxMQQN8avQMTODwBJSZAgAABAgQIECBAgMA+CJw5c6ac2cK0DzbySGAWAdsQIECAAAECBAgQ2GcBAfR9PnvyToDAJgUciwABAgQIECBAgAABAgQIEGhfQAkJECBAgAABAgQOXEAAfckPwE033TQ1hdPWT93ZSgIECKxMQEIECBAgQIAAAQIECBAgQIBA+wJKSIAAAQIECBAgsKyAAPqSgtddd1257LLLyu1ud7ux08c//vEiiL4kst0JECBAgAABAgQIECBAgAABAgQIEGhfQAkJECBAgACBgxe4/vrryyWXXDI27trFY6+99tqyzv8E0JfUveKKK0pO5Ac+8IEybsoJvuCCC5Y8it0JECBAYJ8F5J0AAQIECKxT4MyZM+XMlqd1lk/aBLYtMBiUMhiUMhiUMhiUMhiUMhiUMhiUMhiUMhiUMhiUMhiUMhiUMhiUMhiUMhiUMhiUMhiUMhiUMhiUMhiUMhiUMhiUMhiUMhhsu3SOT4AAAQKrFJAWAQIECBAgsLxAOi5/9KMfHRt37WKxd7zjHZc/0JQUBNCn4FhFgAABAgQIFAQECBAgQIAAgf/P3t3oyFKcZwCul4MFR4otQIlsy0quZS+tLo1rSeQ4DlGMHCcYG5hsn6ZP9+707PzPdNc8aIuuqf/vqQFnzxdmCBAgQIAAAQIECBAgQIAAgYcReOAE+sPcsUAJECBAgAABAgQIECBAgMADCwidAAECBAgQIECAAAECBAgcLiCBfrjVskY6DQECBAgQIECAAAECBLYENs8ttyrPW/khQOD6AnYgQIAAAQIECBAgQIAAgZsKSKDflNtmg4AnAQIECBAgQIAAAQIECBAg0L6ACAkQIECAAAECBAgQILA2AQn0td2Y8y5BwBkIECBAgAABAgQIECBAgACB9gVESIAAAQIECBAgQIDAAwpIoD/gpQv50QXET4AAAQIECBAgQIAAAQIECLQvIEICBAgQIECAAAECBE4RkEA/Rc0cAgTuJ2BnAgQIECBAgAABAgQIECBAoH0BERIgQIAAAQIECBC4k4AE+p3gbUuAwGMKiJoAAQIECBAgQIAAAQIECBBoX0CEBAgQIECAAAEC6xWQQF/v3Tk5AQIEbi1gPwIECBAgQIAAAQIECBAgQKB9ARESIECAAAECBB5aQAL9oa9f8AQIEHgkAbESIECAAAECBAgQIECAAAEC7QuIkAABAgQIECBwnoAE+nl+ZhMgQOBsgSQl6cuwWNK/Tl4+h37PBxQQMgECBAgQIECAAAECBAgQINC+gAgJECBAgACBuwtIoN/9ChyAAAECBAi0LyBCAgQIECBAgAABAgQIECBAoH0BERIgQIAAgRYEJNBbuEUxECBAgAABAtcUsDYBAgQIECBAgAABAgQIECDQvoAICRAgQIDABwEJ9A8M/kaAAIHbCiTjR7Mfs3Ny2rxj9jCWAIHWBMRDgACBNgSenp7K0x1KG3qiIECAAAECBAgQaF9AhAQIECBwKQEJ9EtJWocAAQIECBAgQODyAlYkQIAAAQIECBAgQIAAAQIE2hcQIQECBBYkIIG+oMtwFAIECBAgQIAAgbYEREOAAAECBAgQIECAAAECBAi0LyBCAgTaEpBAb+s+RUOAAAECBAgQIEDgUgLWIUCAAAECBAgQIECAAAECBNoXECEBAq8EJNBfgXhJgACBWwtsNpsylCQlyYsjDH3d80WHFwQIECCwCoF7fGdzt+cqcK56SIu3KlBrKbWWUmsptZZSaym1llJrKbWWUmsptZZSaym1llJrKbWWUmsptZZSaym1llJrKbWWUmsptZZSaym1llJrq3LiIkCAAIFTBJJ8+D098UwYJAwSBkl7Bqf8+9EcAssRcBIClxeQQL+8qRUJECBAgAABAgQIECBwnoDZBAgQIECAAAECBAgQIECAQPsCIlykgAT6Iq/FoQgQIECAAAECBAgQILBeAScnQIAAAQIECBAgQIAAAQIE2hdoNUIJ9FZvVlwECBAgQIAAAQIECBAgcIqAOQQIECBAgAABAgQIECBAgED7AjsjlEDfSaODAAECBE4RSN7+HqhT1uzmJOO63etzSjKulWzX962dbM9JXradu8a++cf0Jy/Plrx8fchaycs5ycvXh6xhDAECncDm+W/XLM/L+yFA4MEFhE+AAAEC1xLYbDZFYeA94D3QynvgWv+utC4BAgRaEFhHAr0FaTEQIECAAAECBAgQIECAAAECbwvoJUCAAAECBAgQIECAAAECdxaQQL/BBdiCAAECBAgQIECAAAECBAgQaF9AhAQIECBAgAABAgQIECCwfgEJ9PXf4bUjsD4BAlcWSMaPwh62mn4UVLLdP4xbyjMZzzg9+1w9GcfuO39y+Nhj1po717Qtmd836dunY3fVk37s9FxJ35Zk78f+JePY6RrH1JN+jV1nHNqTflySF8snKUlfhrG7nkk/LsmLNbwgQIAAAQIECBBYjYCDEiBAgAABAgQIECBAgMCzgAT6M4KflgXERoAAAQIECBAgQIAAAQIECLQvIEICBAgQIECAAAECBAhcRkAC/TKOViFwHQGrEiBAgAABAgQIECBAgAABAu0LiJAAAQIECBAgQIAAgcUISKAv5iochEB7AiIiQIAAAQIECBAgQIAAAQIE2hcQIQECBAgQIECAAIGWBCTQW7pNsRAgcEmBq6612WzKUI7ZaJjTPY+Zd+2x3XmGcu5eSUrSl2HN7nnuuuYTIECAAAECBAgQIECAAIEZAU0ECBAgQIAAAQIEXghIoL/g8IIAAQKtCIiDAAECBAgQIECAAAECBAgQaF9AhAQIECBAgAABApcWkEC/tKj1CBAgQOB8ASsQIECAAAECBAgQIECAAAEC7QuIkAABAgQIECCwQAEJ9AVeiiMRIPBYAt3Hk78uU4Fp37RdfbkCTkaAAIFHE3h6eipPdyiP5ixeAgQIECBAgACBZQk4DQECBAgQINCmgAT6mff6r//6r+W3v/3tzvLdd9+duYPpBAgQIEDgpgI2I0CAAAECBAgQIECAAAECBNoXECEBAgQIEFikwP/8z/+UL774YmfutcvL/v73v7/q2SXQz+T9l3/5l/KHP/xhZ3n//v2ZO5hOgAABAgQIHC5gJAECBAgQIECAAAECBAgQINC+gAgJECBAoFWBX/7yl+Xbb7/dmXvt8rK/+93vrhq+BPpVeS1OgAABAgQIEDhCwFACBAgQIECAAAECBAgQIECgfQEREiBAgMCiBSTQF309DkeAwCMIJCnJYWWtHskY32azKUOZxpP0Y4a+7jntV38cgaR/LyTzz6nEru9cno55q75r/i3a3zrXWvucm0AnUGsptZZSaym1llJrKbWWUmsptZZSaym1llJrKbWWUmsptZZSaym1llJrKbWWUmsptZZSaym1llJrKbWWUmu3i0KAAAECBAgQIEBg3QJJ/zvvuqNw+kcVEDcBAgRaF5BAb/2GxUeAAAECBAgQIHCIgDEECBAgQIAAAQIECBAgQIBA+wIiJECAwF4BCfS9RAYQIECAAAECBAgQWLqA8xEgQIAAAQIECBAgQIAAAQLtC4iQAIFbCEig30LZHgQIECBAgAABAgQI7BbQQ4AAAQIECBAgQIAAAQIECLQvIEICKxGQQF/JRTkmAQJtCST991wlOSqwJCXpy1ET7zQ46c+62WzKUPYdJennJC+f03lJ3zdtU29HYHiv7HpOI/3666/L1zNlOubw+uZ56LXL8xZ+CBBoTkBABAgQIECAAIFbCyT978VJTt46yVX+jCHp1z35YDeYmPRnTHLSbklOskvGecPvvCcd4IBJybjXAcMNIUCAAIEDBAx5HAEJ9Me5a5ESIECAAAECBAgQIEDgtYDXBAgQIECAAAECBAgQIECAQPsCIjxCQAL9CCxDCRAgQIAAAQIECBAgQGBJAs5CgAABAgQIECBAgAABAgQItC9w2wgl0G/rbTcCBAhsCQwf2XXIc2vyAhuS8SPChpgOOeYwdtdzusYwZtqmToAAAQIECBBYnYADEyBAgEBTAsn4+3ByXr0pmIUHk/R3te+YST8uyb6hO/uHP8/onjsHXaij22MoF1rSMgQIECBA4GEELp5Afxg5gRIgQIAAAQIECBAgQIAAgQcWEDoBAgQIECBAgAABAgQIEGhRQAL95a16RYAAAQIECBAgsEbldQAAEABJREFUQIAAAQIECLQvIEICBAgQIECAAAECBAgQIDArIIE+y7LWRucmQIAAAQIECBAgQIAAAQIE2hcQIQECBAgQIECAAAECBAhcS0AC/Vqy1j1ewAwCBFYrkKQkfZkGkfRtyfxzOvaS9WTcb1h3+N6v7pmM/cl2vRszlGF+9xzaku05ycu2YWw3byhDW/dMXo5PXr7uxgxlmL/rmYxzp2OG+cnYn2zXh3Hdc25+155sz0vGtm7MUKZrqBMgQIAAAQIECBDYEtBA4CEENs9RHluepxz4M/z+1T2T8XezfdOTcWw3dyhz85JxbLJdn5tzSFuyvVYytu1aI+nHTPuTvi3JtHlR9SQf/8wk2a7vOmwyjt01ZmhPtscm223d+GS7Pdlu68YOJXm7fxjXPZNxbDJf78YpBAgQIEBgyQIS6Eu+HWdblYDDEiBAgAABAgQIECBAgAABAu0LiJAAAQIECBAgQIAAgbYFJNDbvl/REThUwDgCBAgQIECAAAECBAgQIECgfQEREiBAgAABAgQIECCwR0ACfQ+QbgIE1iCw7jMm8x9nlWy3LzXS4SPfjn0eE8907X3z9o2d9s/Vj1l/bn7Xdu4a++Yf09+d561yyFpvze/6DlnDGAIECBAgQIAAAQIECJwnYPa1BZLxzyK63/XeKsk4dt+5knHsW2t2fck4dm7dZOzvxg9lbuwhbcP8ZFx3Oi/p24dx3XPaP1dP+jlJSjf+rZKMY6drTeck/Zhpf9K3JS/3mI7ZV0/6Neb2Svq+5OX6ydg+XT/p26dr7aon/djpfHUCBAgQILAkAQn0Jd2GsxAg8JgCoiZAgAABAgQIECBAgAABAgTaFxAhAQIECBAgQIDAKgQk0FdxTQ5JgACB5Qo4GQECBAgQIECAAAECBAgQINC+gAgJECBAgAABAo8iIIH+KDctTgIECBCYE9BGgAABAgQIECBAgAABAgQItC8gQgIECBAgQIDAwQIS6AdTGUiAAIHLCUy/A+qYVU+dd8wexq5JwFkJ7BZ4enoqT3cou0+khwABAgQIECBAgACBawhM/6wg6b9bOsnHrZKUpC/TsR8HTCrT/qSfk8w/J9NuWp2e8aYbH7HZ9IzJvF/Stx+y7GazKd2aST8nyYfXXVtXDlljbkw3tytzfV1b19eVrq4QIECAAIFHEpBAf6TbFisBAgQIEFiSgLMQIECAAAECBAgQIECAAAEC7QuIkAABAgQIrExAAn1lF+a4BAgQIECAwDIEnIIAAQIECBAgQIAAAQIECBBoX0CEBAgQIPB4AhLoj3fnIiZAgAABAgQIECBAgAABAgQIECBAgAABAgTaFxAhAQIECJwgIIF+ApopBAgQuKRA911Sh5ZL7mutdgSm7592ohLJJQVqLaXWUmotpdZSai2l1lJqLaXWUmotpdZSai2l1lJqLaXWUmotpdZSai2l1lJqLaXWUmotpdZSai2l1lJqveRpD1nLGAIECBAgQIAAAQIEriGQzH/H9vT3zqF+jf1bWTPh2MpdiuPeAvYnQIDAfQQk0O/jblcCBAgQIECAAIFHFRA3AQIECBAgQIAAAQIECBAg0L6ACAkQWK2ABPpqr87BCRAgQIAAAQIECNxewI4ECBAgQIAAAQIECBAgQIBA+wIiJPDIAhLoj3z7YidA4CYCSf+xXdPNkr4tOf05XU+dAAECBAgQOEjAIAIECBAgQIBA0wLDx6t3z6T/M4euPpRzg0/6NZOcu9Ti5g9G3TNJSfrSve7KpQ+c9Osfsm7Sj+3OMZSkb0tyyBLGECBA4NEExEvgLAEJ9LP4TCZAgAABAgQIECBAgMCtBOxDgAABAgQIECBAgAABAgQItC8gwnsLSKDf+wbsT4AAAQIECBAgQIAAgUcQECMBAgQIECBAgAABAgQIECDQvkADEUqgN3CJQiBAgAABAgQIECBAgACB6wpYnQABAgQIECBAgAABAgQIEGhfoItQAr1TUAgQIECAAAECBAgQIECAQLsCIiNAgACBmwvkecdjy/OUO/9sNpsylCQleVmGvu55zFG78UNJXq6ZvHw9jOuex+yxpLHd2YeSvIwv6V8P/bvOnfTjkny8k+nYYX73TMax0zG3rHfn6EoyniWZr3fjunLL89mLAAECBAgcI7DiBPoxYRpLgAABAgQIECBAgAABAgQIrFPAqQkQIECAAAECBAgQIECAwO0EJNDPsP7pp5/Kf/7nf5YvvvhiZ/nuu+/K3//+9+1dtBAgQIAAAQIECBAgQIAAAQLtC4iQAAECBAgQIECAAAECBA4W+P7778s//MM/7My9/upXvyrffPPNweudMlAC/RS1n+d88skn5Ze//GX59ttvd5ZuzC9+8YufZ7TzEAkBAocLdB9J1ZXpjO71uWW6njoBAgQIECBAgAABAgSuIWBNAgQOFzj39/zp/MN33T1yWG/3iLd7hvnT53TGvvbp2Gl9Om+uPh07rQ9jp22n1oe1uufcGl37UE7pn84Z1nn9HMZM24e27rmrvet7XebGzrV183a1d31duWT/dK1pvdtHIUCAAAECuwQ+++yz8pe//GVn7vXPf/5z+eqrr3ZNv0i7BPqZjO/fv39zhe6S3xyg8x4C9iRAgAABAgQIECBAgAABAgTaFxAhAQIECBAgQIAAAQINCrx79+6qUUmgX5XX4gSuIWBNAgQIECBAgAABAgQIECBAoH0BERIgQIAAAQIECBAgcA8BCfR7qNuTwCMLiJ0AAQIECBAgQIAAAQIECBBoX0CEBAgQIECAAAECBFYqIIG+0otzbAIE7iNwqV2TlKQvl1rTOgQIECBAgAABAgQIECBAgMBlBKxCgAABAgQIECDwuAIS6I979yInQODxBERMgAABAgQIECBAgAABAgQItC8gQgIECBAgQIAAgTMEJNDPwDOVAAECBG4pYC8CBAgQIECAAAECBAgQIECgfQEREiBAgAABAgTuKyCBfl9/uxMgQIDAowiIkwABAgQIECBAgAABAgQIEGhfQIQECBAgQIDA6gUk0Fd/hQIgQIAAAQLXF7ADAQIECBAgQIAAAQIECBAg0L6ACAkQIECAAIFSJNC9CwgQIECAAIHWBcRHgAABAgQIECBAgAABAgQItC8gQgIECBAgcBEBCfSLMFqEAAECBAgQIHAtAesSIECAAAECBAgQIECAAAEC7QuIkAABAgSWIiCBvpSbcA4CBB5WIElJji8PCyZwAgTWJeC0BAgQIECAAAECBAgQIECAQPsCIiRAgEBDAhLoDV2mUAgQIECAAAECBC4rYDUCBAgQIECAAAECBAgQIECgfQEREiBAYCoggT7VUCdAgAABAgQIECDQjoBICBAgQIAAAQIECBAgQIAAgfYFREiAwIUFJNAvDGo5AgQIECBAgAABAgQuIWANAgQIECBAgAABAgQIECBAoH0BERJYnoAE+vLuxIkIECBAgAABAgQIEFi7gPMTIECAAAECBAgQIECAAAEC7QuIsEkBCfQmr1VQBAgQIECAAAECBAgQOF3ATAIECBAgQIAAAQIECBAgQKB9ARHOC0igz7toJUCAAAECBAgQIECAAIF1Cjg1AQIECBAgQIAAAQIECBAg0L7A1SKUQL8arYUJECCwW2Cz2ZRzy+7V9RAgQIAAAQIECKxXwMkJECBAgAABAgQIECBAgACBewrcJoF+zwjtTYAAAQIECBAgQIAAAQIECNxGwC4ECBAgQIAAAQIECBAgQGDlAhLoB1ygIQQIECBAgAABAgQIECBAgED7AiIkQIAAAQIECBAgQIAAAQIS6O2/B0RIgAABAgQIECBAgAABAgQItC8gQgIECBAgQIAAAQIECBC4gIAE+gUQLXFNAWsTaF8gSUmOL+3LiJAAAQIECBAgQIAAgccRECkBAgQIECBAgAABAgSWISCBvox7cIpWBcRFgAABAgQIECBAgAABAgQItC8gQgIECBAgQIAAAQIEmhGQQG/mKgVC4PICViRAgAABAgQIECBAgAABAgTaFxAhAQIECBAgQIAAAQKjgAT6aKFGgEBbAqIhQIAAAQIECBAgQIAAAQIE2hcQIQECBAgQIECAAIGLCkigX5TTYgQIEOgFkvE7zfuWl39P3u4v5eV4rwgQIECAAAECBAgQIECAAIEWBcREgAABAgQIECCwNAEJ9KXdiPMQIECgBQExECBAgAABAgQIECBAgAABAu0LiJAAAQIECBAg0KCABHqDlyokAgQIEDhPwGwCBAgQIECAAAECBAgQIECgfQEREiBAgAABAgTmBCTQ51S0ESBA4IICSf9x7buW3Gw2ZSjDmOH16+fQ70ngDQFdBAgQIECAAAECBAgQIECAQPsCIiRAgAABAgSuJCCBfiVYyxIgQIAAAQKnCJhDgAABAgQIECBAgAABAgQItC8gQgIECBAgsFwBCfTl3o2TESBAgAABAmsTcF4CBAgQIECAAAECBAgQIECgfQEREiBAgEDTAhLoTV+v4AgQIECAAAEChwsYSYAAAQIECBAgQIAAAQIECLQvIEICBAgQeFtAAv1tn729P/7445tjvv/++zf7dRIg0KbAZrMpQzklwiQl2S6nrGUOAQIEHkRAmAQIECBAgAABAgQIECBAgED7AiIkQIBA+b//+7+rKkign8n75z//uXz22Wfl888/ny0//fRT6cqZ25hOgAABAgQIECDQtIDgCBAgQIAAAQIECBAgQIAAgfYFREiAwD6B7j9e/vTTT2fzrl0+tsvL/vWvf/3wHzGWK/0lgX4m7Jdfflm6/8q8u6i58v79+/LJJ5jPZDadAAECBAgQIEBgyQLORoAAAQIECBAgQIAAAQIECLQvIEICNxB49+5d+eGHH8pc3rVr6/KyX3311YdP8b3WcWR2ryVrXQIECBAgQIAAAQIEViHgkAQIECBAgAABAgQIECBAgED7AiIkcKiABPqhUsYRIEDgRIHNZrP1USJDW/dM8uH/UyrJh3Fd266tur6h7Bpz7/ZkjCfZru87X7I9J3nZtm+Nff3Jy/WS3a/n1kp2j0/6vrl507akH5fMP6djz60n83skffsh6yf92GT+ecgaxhAgQIDAVQQsSoAAAQIECBAgQIAAAQIECLQvIMIbCkig3xDbVgQIECBAgAABAgQIECAwFVAnQIAAAQIECBAgQIAAAQIE2hdYV4QS6Ou6L6clQIAAAQIECBAgQIAAgaUIOAcBAgQIECBAgAABAgQIECDQnMBWAr25CAVEgACBhQsMH8nePYejdvW5MvQv7ZmMH+s9d+5pWzKOncaR9O3TsbvqST92Ov/U+q49hvbpukm/79D31jPpx87NT8aP69+1RtLPTzJd4qh6kg9fD7Brj6E96cclebF+kg/zk9uc98XmXhAgQIAAAQJXF7ABAQIECBAgcH2BZPzd+vq72YEAAQIECBC4hEBrCfRLmFiDAAECBAgQIECAAAECBAgQWLaA0xEgQIAAAQIECBAgQIAAgXL1vjwAABAASURBVKsISKBfhfXURc0jQIAAAQIECBAgQIAAAQIE2hcQIQECBAgQIECAAAECBAgsVUACfak3s8ZzOTMBAgQIECBAgAABAgQIECDQvoAICRAgQIAAAQIECBAg0LCABHrDlyu04wSMJnAtgaT/rqvp+knflpz+nK537/pmsylDOfUs587ft28yWg97dc998/QTIECAAAECBAgQINCWgGgItCCQjL/jnhpPcv4ac3sn/bpzfUtpS/ozJjnpSElK0pe5BZK+L8nHPy+5xJ9BJOO6c/tqI0CAAAECBC4jIIF+GUerELi3gP0JECBAgAABAgQIECBAgACB9gVESIAAAQIECBAgQIDAlQUk0K8MbHkCBA4RMIYAAQIECBAgQIAAAQIECBBoX0CEBAgQIECAAAECBJYvIIG+/DtyQgIEli7gfFcTSMaPJkvGevexZ105deNkXCvZrp+6rnkECBAgQIAAAQIECBAg0LDAntCS7d8vk9Pa9myl+4ICSX9H+5ZM+nFJ9g296Me2Tzfr/ixkKNN2dQIECBAgQOCyAhLol/W0GgECBFYn4MAECBAgQIAAAQIECBAgQIBA+wIiJECAAAECBAgQOExAAv0wJ6MIECBAYJkCTkWAAAECBAgQIECAAAECBAi0LyBCAgQIECBAgMDNBCTQb0ZtIwIECBAg8FrAawIECBAgQIAAAQIECBAgQKB9ARESIECAAAECaxKQQF/TbTkrAQKrFJj7bqqh7ZznmjCSlKQv05j3xTAdO60n/Vr75k/7p/P31ZN+/STTJdRfC1zpdZKP75dkuz7d9unpqTzNlOkYdQIECBAgQIAAAQIECNxaoD5veGx5nnLwz/T32mT8vWnfAsk4drrG3LxkHJts1+fmHNKWbK+VjG271kj6MdP+pG9LMm2+ez3Jx99rp4dJttuTsS0Z69N5Qz2Z70+225PttmGd4Zn0Y4bXu575eVzSj0+2n7vmaidAgAABAmsUkEBf4605MwECBAgQIHC2gAUIECBAgAABAgQIECBAgACB9gVESIAAAQIEjhWQQD9WzHgCBAgQIECAwP0FnIAAAQIECBAgQIAAAQIECBBoX0CEBAgQIHAHAQn0O6DbkgABAgQIECDw2AKiJ0CAAAECBAgQIECAAAECBNoXECEBAgTWKSCBvs57c2oCBFYokGx/P1RyXNvawk76+PZ9r9ra4nLe6wpM3y9z9enuX3/9dfl6pkzHqBO4uIAFCRAgQIAAAQIECDQqkPS/xycpc7+PTduScew+jmQcO11jrp6MY+fWTcb+6fy5sYe0DWsk47rTeUnfPozrntP+U+vJ9rrd2kNJ+v4kR22RpCQv7y/p25KXz317Jf34Ydxbz6Qfe9RhDSawdAHnI0DgYQUk0B/26gVOgAABAgQIECDwiAJiJkCAAAECBAgQIECAAAECBNoXECEBAqcLSKCfbmcmAQIECBAgQIAAAQK3FbAbAQIECBAgQIAAAQIECBAg0L6ACAncVUAC/a78NidA4BEEkst9hFXSr5VksXRJPnxUWDJ+XNghh036eYeMPWVM0q+f5JTp5hAgQIAAgQsIWIIAAQIECNxX4OnpqTzdsNw32sfZffqx2kk+/k4+CCRj23Ts0D99TvuTcV6yXZ/Ou2V9esZb7nvpvYY4br3usG/3vPTe1iNAgACBQcBz7QIS6Gu/QecnQIAAAQIECBAgQIDALQTsQYAAAQIECBAgQIAAAQIECLQvIMIige5NQIAAAQIECBAgQIAAAQLNCwiQAAECBAgQIECAAAECBAgQaF/gEhFKoF9C0RoECBAgQIAAAQIECBAgQOB6AlYmQIAAAQIECBAgQIAAAQIEbiRwxwT6jSK0DQECBBYi0H231LllIaFsHSMZvwtt2pmM7cl2fTp2sEm2xyUv24ax0/nTejKOH9qHOd0zGfuT7Xo3ZijD/O45tCXbc5KXbcPYbt5Qhrbumbwcn7x83Y0ZyjB/1zMZ507HDPOTsT/Zrg/juufc/K492Z6XjG3dmKFM11AnQIAAAQIECJTCgACBxQhsnk9y7fK8hZ/1CiTzv+cNv+9Nn+uN0skJECBAgAABAm8LSKC/7bO7Vw8BAgQIECBAgAABAgQIECDQvoAICRAgQIAAAQIECBAgQOChBCTQH+q6x2DVCBAgQIAAAQIECBAgQIAAgfYFREiAAAECBAgQIECAAAECxwlIoB/nZfQyBJyCAIGFCUw/wu2Y+lwYh8yfmzdtm64xbR/q0/65+jBu13Nuzuu2XXOH9tfjX78exl3i+Xrt168P2eP1nNevD1nDGAIECBAgQIAAAQJHChhOgMCRAtPf1ZL+49inbUcutzU86ddMstW39oapU5KS9GVoX3t8zk+AAAECBAgcLiCBfriVkQQuJGAZAgQIECBAgAABAgQIECBAoH0BERIgQIAAAQIECBAgsEYBCfQ13pozE7ingL0JECBAgAABAgQIECBAgACB9gVESIAAAQIECBAgQOBBBSTQz7z43//+9+U3v/nNzvL999+fuYPpBAhcUsBaBAgQIECAAAECBAgQIECAQPsCIiRAgAABAgQIEFinwJ/+9KfyT//0Tztzr11e9g9/+MNVg5NAP5P3d7/7XfmP//iPneWzzz47cwfTCRBoRSDpvzsrOfnZCoU4CBAgQIAAAQIECBAgQIBA0wL1Obpjy/OU4eduz81mU4aSbP/5xdDXPY85ZDd+KMn2usnYNozrnsfsYezlBbo76Eoy3k8yX+/GdeXyp7AiAQIECDyawJdfflm++eabnbnXLi/729/+9qosEuhX5bU4AQIECIwCagQIECBAgAABAgQIECBAgED7AiIkQIAAAQIECKxbQAJ93ffn9AQIECBwKwH7ECBAgAABAgQIECBAgAABAu0LiJAAAQIECBB4eAEJ9Id/CwAgQIAAgUcQECMBAgQIECBAgAABAgQIECDQvoAICRAgQIAAgfMFJNDPN7QCAQIECBC4q0D3HWNDuetBrre5lQkQIECAAAECBAgQILB4geH3sks8LxHscI5T1xrmT5/Ttfa1T8dO69N5c/Xp2Gl9GDttO7U+rNU959bo2odyyf5hze45t+60rRszlKF9eN09h7bu2b0eSvf6dRn6uufrvu511z6U7vXrMvS99Xw958TXphEgQIAAgUUISKAv4hocggABAgQIEGhXQGQECBAgQIAAAQIECBAgQIBA+wIiJECAAIFWBCTQW7lJcRAgQIAAAQIEriFgTQIECBAgQIAAAQIECBAgQKB9ARESIECAwEcBCfSPFCoECBC4jsBbH291Tt91TmtVAgQItCUgGgIECBAgsCaBp6en8nSjsiaXW5312va3isM+BAgQIEDgEQXETIAAgUsKSKBfUtNaBAgQIECAAAECBC4nYCUCBAgQIECAAAECBAgQIECgfQEREiCwMAEJ9IVdiOMQIECAAAECBAgQaENAFAQIECBAgAABAgQIECBAgED7AiIk0J6ABHp7dyoiAgQIECBAgAABAgTOFTCfAAECBAgQIECAAAECBAgQaF9AhARmBCTQZ1A0ESBAgAABAgQIECBAYM0Czk6AwEoFNs/nvnZ53sLPvEB9br5meV7eDwECBAgQIECAAIGLCljsOgIS6NdxtSoBAgQIECBAgAABAgQInCZgFgECBAgQIECAAAECBAgQINC+wGIjlEBf7NU4GAECBAgQIECAAAECBAisT8CJCRAgQIAAAQIECBAgQIAAgTULHJZAX3OEzk6AAAECBAgQIECAAAECBAgcJmAUAQIECBAgQIAAAQIECBB4cIGHSKA/+B0LnwABAgQIECBAgAABAgQIPISAIAkQIECAAAECBAgQIECAwLkCEujnCl5/vh0IECBAgAABAgQIECBAgACB9gVESIAAAQIECBAgQIAAAQILEJBAX8AltH0E0REgQIAAAQIECBAgQIAAAQLtC4iQAAECBAgQIECAAAECbQhIoLdxj6K4loB1CRAgQIAAAQIECBAgQIAAgfYFREiAAAECBAgQIECAAIGfBSTQf4bwINCigJgIECBAgAABAgQIECBAgACB9gVESIAAAQIECBAgQIDA5QQk0C9naSUCBC4rYDUCBAgQIECAAAECBAgQIECgfQEREiBAgAABAgQIEFiUgAT6oq7DYQgQaEdAJAQIECBAgAABAgQIECBAgED7AiIkQIAAAQIECBBoTUACvbUbFQ8BAqsTSFKSvgyHT/rXycvn0H/1pw0IECBAgAABAgQILEDg6empPN2hLCB0RyBAgMBtBOxCgAABAgQIECCwJSCBvkWigQABAgTWLuD8BAgQIECAAAECBAgQIECAQPsCIiRAgAABAgQIXENAAv0aqtYkQIAAAQKnC5hJgAABAgQIECBAgAABAgQItC8gQgIECBAgQGChAhLoC70YxyJAoG2BZPxo9mMiTU6bd8wexhI4T8BsAgQIECDQlsAtPz68LbnLRFOfl7lHed7WDwECBAgQIPCmgE4CBAgQINCugAR6u3crMgIECBAgQOBYAeMJECBAgAABAgQIECBAgACB9gVESIAAAQIE3hCQQH8DRxcBAgQIECBAYE0CzkqAAAECBAgQIECAAAECBAi0LyBCAgQIELiugAT6dX2tToAAAQIECBAgcJiAUQQIECBAgAABAgQIECBAgED7AiIkQIDA4gUk0Bd/RQ5IgEDrApvNpgwlSUnyIuShr3u+6PCCAAECBBYk4CgECDQrsHmO7JrleXk/BAgQIECAAAECBAisRcA5CRB4BAEJ9Ee4ZTESIECAAAECBAgQeEtAHwECBAgQIECAAAECBAgQINC+gAgJEDhIQAL9ICaDCBAgQIAAAQIECBBYqoBzESBAgAABAgQIECBAgAABAu0LiJDArQQk0G8lbR8CBAgQIECAAAECBAhsC2ghQIAAAQIECBAgQIAAAQIE2hcQ4YoEJNDPvKx/+7d/K7/+9a93lr/+9a9n7mA6AQIECBAgQIAAAQIElirgXAQIECBAgAABAgQIECBAgED7AreL8IcffihffvnlztzrP/7jP5Z///d/v+qBJNDP5P3nf/7n8sc//nFn+fzzz8/cwXQCBAgQIECAAAECBAgQuIqARQkQIECAAAECBAgQIECAAIFFCXz66aflT3/6087c63/91399SK4fdegjB0ugHwlmOAECBAgQIECAAAECBAgQWIKAMxAgQIAAAQIECBAgQIAAgUcUePfu3VXDXloC/arBWpwAAQJLFEhSkr4M59tsNmUoSd+XZOj2JECAAAECBAgQILB2AecnQIAAAQIECBAgQIAAAQKLFJBAv+i1WIwAAQIECBAgQIAAAQIECBBoX0CEBAgQIECAAAECBAgQINCqgAR6qzd7SlzmECBAgAABAgQIECBAgAABAu0LiJAAAQIECBAgQIAAAQIEdgpIoO+k0bE2AeclQIAAAQIECBAgQIAAAQIE2hcQIQECBAgQIEBdDHxxAAAQAElEQVSAAAECBK4pIIF+TV1rEzhcwMgHE9hsNmUox4Q+zOmex8wzlgABAgQIECBAgAABAgQWIeAQBAgQIECAAAECBAgsXEACfeEX5HgE1iHglAQIECBAgAABAgQIECBAgED7AiIkQIAAAQIECBAg0L6ABHr7dyxCAgT2CegnQIAAAQIECBAgQIAAAQIE2hcQIQECBAgQIECAAIEDBCTQD0AyhAABAtcU6D6O/XWZ7jftm7YPdU8CBAgQIPCoAk9PT+XphuVRnQ+J+xb3cMg5jCFAgAABAi0LTGNLUpLjy3SNJdSTPoYlnKXlMyS9c5KWwxQbAQIECBC4mIAE+sUoLUSAAAECJwiYQoAAAQIECBAgQIAAAQIECLQvIEICBAgQIECAwGoEJNBXc1UOSoAAAQLLE3AiAgQIECBAgAABAgQIECBAoH0BERIgQIAAAQKPJCCB/ki3LVYCBAgQIDAVUCdAgAABAgQIECBAgAABAgTaFxAhAQIECBAgcJSABPpRXAYTIEDg8gJJtr63bLpLMvZP29UJPKpArbXUWktXHtVA3AQI/CyweX5euzxv4We/QH0ecu3yvIUfAgQIECCwaIFk/P09Oa9+TKCbzaYcWo5Z11gCSxFwDgIECBAgcGsBCfRbi9uPAAECBAgQIFAKAwIECBAgQIAAAQIECBAgQKB9ARESIECAwAoFJNBXeGmOTIAAAQIECBC4r4DdCRAgQIAAAQIECBAgQIAAgfYFREiAAIHHFJBAf8x7FzUBAgQIECBA4HEFRE6AAAECBAgQIECAAAECBAi0LyBCAgQInCgggX4inGkECBA4RyAZvwvtmHWS0+Yds8e5Y5PxjMl2fd/6yfac5GXbvjX29Scv10tevj53fpJ9S5Qkb5a9CxwxIDl/r+T8NY448ptDu+8+H8qbA3USaFRAWAQIECBAgAABAssXqLWUWkuptZRaS6m1lFpLqbWUWkuptZRaS6m1lFpLqfW+MSXn/c6XnDd/Gn0yv9Z0zFw9mZ+X9O1zc7q2ZLs/6duSdEO2SpKPv9Nvdb7RkIzzku36rqlJP3ban/RtycvnMCYZ24e27pnMt3d9XUnG/mS73o1RCBC4jYBdCBC4n4AE+v3s7UyAAAECBAgQIEDg0QTES4AAAQIECBAgQIAAAQIECLQvIEICqxaQQF/19Tk8AQIECBAgQIAAAQK3E7ATAQIECBAgQIAAAQIECBAg0L6ACB9dQAL90d8B4idA4O4Cm82mDGXuMENf95zrX0JbMn6kV3fOt0oyjp2ePenb35o79CX92On8ffWkn5Pko/ew3utnMo6drpv07a/Hz71O+rFz85PTzzBdb1896c8wd75pW9KPS/JiySQfP5JuOn6unoxjXyziBQECBAgsR8BJCBAgQIAAgSYFkvH3sWS7vivoZBw793vetC3px07XSvq25PzfcZP9ayX9mFufIen3TcbnnE2S6dE+1pNc7HfrZP9aST9mesaPh3muzLUn/Zzk/Lt83sIPAQIECNxbwP5nC0ign01oAQIECBAgQIAAAQIECBC4toD1CRAgQIAAAQIECBAgQIAAgfYFlhChBPoSbsEZCBAgQIAAAQIECBAgQKBlAbERIECAAAECBAgQIECAAAECKxE4I4G+kggdkwABAgQIECBAgAABAgQIEDhDwFQCBAgQIECAAAECBAgQIPA4Ao+bQH+cOxYpAQIEri4w9/1Zx246rHHsPOMJECBAgAABAgQIvCmgkwABAo0LDL9P73oeEn6Skuwuh6zx1pjp2ebG7eufm9O1Teclu8+fpBv+ZpmuNTdwX//cnNdtSc5yvsQZXp/JawIECBAgQGBbQAJ922QVLQ5JgAABAgQIECBAgAABAgQItC8gQgIECBAgQIAAAQIECBC4rYAE+m297dYL+DsBAgQIECBAgAABAgQIECDQvoAICRAgQIAAAQIECBAgsDoBCfTVXZkD31/ACQhcViAZP75rWDkZ25KxPvQ/yjMZY0/G+vCRZY/iIE4CBAicIvD09FSeblROOZ85BAgQIEBg+QJOSOBxBIbfs/c9lyaSbP9Zwa4YlnD2XWeba1/CeZ2BAAECBAg8qoAE+qPevLgfV0DkBAgQIECAAAECBAgQIECAQPsCIiRAgAABAgQIECBA4CQBCfST2EwiQOBeAvYlQIAAAQIECBAgQIAAAQIE2hcQIQECBAgQIECAAIF7CUig30vevgQIPKKAmAkQIECAAAECBAgQIECAAIH2BURIgAABAgQIECCwYgEJ9BVfnqMTILBegel3Wx0Txanzjtlj99jTe5L57yTbt+I03mk96dfbN1//OgWS/n6T+ec0qqenp/I0U6ZjllqfO/cl2+4V9yVjOGSte8W5hn3r8yFvVZ638kOAAAECBAgQINCMwHYgSf/72XbPYS1JPz/JYRMuNCpJSfpyoSWvukzSnzXJVfexOAECBAgQIPC2gAT62z56CRAgQKAVAXEQIECAAAECBAgQIECAAAEC7QuIkAABAgQIECBwpoAE+hmA3X8N+e2335ZPP/20/OIXv9gqXftf/vKX0o07YxtTCRAgQIBAQUCAAAECBAgQIECAAAECBAi0LyBCAgQIECDw6AI//fRTeffu3VbedcjFdvnX//3f/70qkwT6GbxJyieffFJ++OGH8ve//32rdO3dBScp/iJAgAABAg8sIHQCBAgQIECAAAECBAgQIECgfQEREiBAgACBswW63OuPP/64lXcdcrFd/vXzzz8/e5+3FpBAf0vngL5f/epXb456//79m/06CRAg0H1KxaFlbVpJPnzX2DS+tcXgvLcXmL5f5urTE3399dfl65kyHXN+/Tor1Odlr1mel7/Pz+Z522uX5y38ECBAgAABAgQIEFiyQK2l1FpKraXUWkqtpdRaSq2l1FpKraXUWkqtpdRaSq23j2b6+1bS//6ezD+HsdNTDm3dM5mfl/Tt3ZihTNc4tz6s2T2Tfq9kfHbtQzl3r1PnD/t3z2Q8W7Jd78YM5dT99s1Lxn2HscOe3TMZ+5PtejdmKMP8dp4iIUCAAIG1CHT/AfM1zyqBfk1daxMgQIAAAQIE7i1gfwIECBAgQIAAAQIECBAgQKB9ARESIECAwMUEJNAvRmkhAgQIECBAgACBSwtYjwABAgQIECBAgAABAgQIEGhfQIQECBBYkoAE+pJuw1kIEHgYgWT8CKzWgk7G2I75SK+kn9eah3gIEHhoAcETIECAAAECBAg8kMDwO/AlnvvYpnvsG3tI/3S9ufq+NebmTNt2zR/G7Oqftu8bO/RPn3Pzu/659mnbtN6N78q0bVrv+oYybZ+rD+N2PefmdG3D+K6+r8yNHdpeP+fWej3m9eu5OdoIECgICBBoTEACvbELFQ4BAgQIECBAgACBywhYhQABAgQIECBAgAABAgQIEGhfQIQECLwWkEB/LeI1AQIECBAgQIAAAQLrFxABAQIECBAgQIAAAQIECBAg0L6ACAlcQUAC/QqoliRAgAABAgQIECBAgMA5AuYSIECAAAECBAgQIECAAAEC7QuIcJkCEujLvBenIkCAwKoEkpSkL9ODJ31bMv+cjh2+UyuZH5uM7cPY6fxpPRnHDu3DnO6ZjP3Jdr0bM5Rhfvcc2pLtOcnLtmFsN28oQ1v3TF6OT16+7sYMZZi/65mMc6djhvnJ2J9s14dx3XNufteebM9LxrZuzFCma6gTIECAwEMKCJoAAQIECBAgQIAAAQIECBBoX6DZCCXQm71agREgQIAAAQIECBAgQIDA8QJmECBAgAABAgQIECBAgAABAu0L7I5QAn23jR4CBAgQIECAAAECBAgQILAuAaclQIAAAQIECBAgQIAAAQIEzhJYRQL9rAhNJkCAwMIFkvFjsJPD60sKa/jo7mOfczEcssbcvGnbdI1p+1Cf9s/Vh3G7nnNzXrftmju0vx7/+vUw7hLP12u/fn3IHq/nvH59yBrGECBAgAABAgT2CegnQIAAAQIECBAgQIAAAQL3FpBAv/4N2IEAAQIECBAgQIAAAQIECBBoX0CEBAgQIECAAAECBAgQINCAgAR6A5d43RCsToAAAQIECBAgQIAAAQIECLQvIEICBAgQIECAAAECBAgQ6AQk0DsFpV0BkREgQIAAAQIECBAgQIAAAQLtC4iQAAECBAgQIECAAAECFxKQQL8QpGUIXEPAmgQIECBAgAABAgQIECBAgED7AiIkQIAAAQIECBAgQGA5AhLoy7kLJyHQmoB4CBAgQIAAAQIECBAgQIAAgfYFREiAAAECBAgQIECgKQEJ9KauUzAECFxOwEoECBAgQIAAAQIECBAgQIBA+wIiJECAAAECBAgQIPBSQAL9pYdXBAgQaENAFAQIECBAgAABAgQIECBAgED7AiIkQIAAAQIECBC4uIAE+sVJLUiAAIH9ApvNppxb9u+y3hFOfpzA9L103EyjCRAgQIAAAQIECBAgQIDA/QTsTIAAAQIECBBYooAE+hJvxZkIECBAYM0Czk6AAAECBAgQIECAAAECBAi0LyBCAgQIECBAoFEBCfRGL1ZYBAgQIEDgNAGzCBAgQIAAAQIECBAgQIAAgfYFREiAAAECBAjsEpBA3yWjnQABAjcSSFKSw8qNjmQbAusVcHICBAgQIECAAAECBAgQIECgfQEREiBAgACBKwpIoF8R19IECBAgQIAAgWMEjCVAgAABAgQIECBAgAABAgTaFxAhAQIECCxbQAJ92ffjdAQIECBAgACBtQg4JwECBAgQIECAAAECBAgQINC+gAgJECDQvIAEevNXLEACBAgQIECAAIH9AkYQIECAAAECBAgQIECAAAEC7QuIkAABAvsFJND3GxlBgACBiwskKUlfjlk86eckOWaasQQIECDQuoD4CBAgQIAAAQIECBAgQIAAgfYFREiAwE0EJNBvwmwTAgQIECBAgAABAgR2CWgnQIAAAQIECBAgQIAAAQIE2hcQIYG1CEigr+WmnJMAAQIECBAgQIAAgSUKOBMBAgQIECBAgAABAgQIECDQvoAIH0hAAv2BLluoBAgQIECAAAECBAgQeCngFQECBAgQIECAAAECBAgQINC+gAiPEZBAP0bLWAIECFxBYLPZlEPLFba3JAECBAgQIEBgvQJOToAAAQIECBAgQIAAAQIECLQvcOMIJdBvDG47AgQIECBAgAABAgQIECDQCSgECBAgQIAAAQIECBAgQIDA8gQunUBfXoRORIAAAQIECBAgQIAAAQIECFxawHoECBAgQIAAAQIECBAgQKBJAQn0F9d6/Isff/zxzUn7+t+crJMAAQIECBAgQIAAAQIECBC4goAlCRAgQIAAAQIECBAgQIDAvIAE+rzLwa3ffPNN+eKLL8pXX301W/72t7+VmyXRDz61gQQIECBAgAABAgQIECBAgMBqBRycAAECBAgQIECAAAECjQp8++235f3797N51yEf+8c//rFc8y8J78AAmwAAEABJREFU9DN1f/Ob35TuIv/7v/+7zJXugt+9e3fmLo8xXZQECBAgQIAAAQIECBAgQIBA+wIiJECAAAECBAgQIECAwC6B7j9c/u6772bzrkMu9te//vWu6Rdpl0C/CKNFCBQEBAgQIECAAAECBAgQIECAQPsCIiRAgAABAgQIECBAoHEBCfTGL1h4BA4TMOqeAklKcli55zntTYAAAQIECBAgQIAAAQJrF3B+AgQIECBAgAABAgT2CUig7xPST4DA8gWckAABAgQIECBAgAABAgQIEGhfQIQECBAgQIAAAQIEbiAggX4DZFsQIEDgLQF9BAgQIECAAAECBAgQIECAQPsCIiRAgAABAgQIEFiHgAT6Ou7JKQkQaExgs9mUoRwT2jCnex4z74pjLU2AAAECBAgQIECAAAECBAi0LyBCAgROFEjGr24clki224Y+TwIECBC4v4AE+v3vwAkIECBA4G4CNiZAgAABAgQIECBAgAABAgTaFxAhAQIECBAgQOBwAQn0w62MJECAAAECyxJwGgIECBAgQIAAAQIECBAgQKB9ARESIECAAAECNxWQQL8pt80IECBAgACBQcCTAAECBAgQIECAAAECBAgQaF9AhAQIECBAYG0CEuhruzHnJUCgOYHNZlMOLc0FLyAC6xVwcgIECBAgQIAAAQIECCxaIOm/Y/mYQyb9nCTHTLvb2CQl6cvdDrGCjZPeKMlNT5vk4/0kb9dverDjNjtpdDLGO/1zv6Rvn7adtIFJBAgQIHBVAQn0q/JanAABAgQIECCwRAFnIkCAAAECBAgQIECAAAECBNoXECEBAgQInCIggX6KmjkECBAgQIAAAQL3E7AzAQIECBAgQIAAAQIECBAg0L6ACAkQIHAnAQn0O8HblgABAgQIECBA4DEFRE2AAAECBAgQIECAAAECBAi0LyBCAgTWKyCBvt67c3ICBFYikPTfbZRc9rmS8B2TAAECBNoSEA0BAgQIECBAgMAOgeRyv/fv2GJvczKeYfiO5WRs27uAAQSuJDC8H3c9k7bep9M4p6RD+7RNncBCBRyLwEMLSKA/9PULngABAgQIECBAgMAjCYiVAAECBAgQIECAAAECBAgQaF9AhATOE5BAP8/PbAIECBAgQIAAAQIECNxGwC4ECBAgQIAAAQIECBAgQIBA+wIivLuABPrdr8ABCBAgQIAAAQIECBAg0L6ACAkQIECAwEMJbJ6jPbY8T1nqTzJ+vHbS1/edNenHJbufc2sk4/hpfzK2J319V//QnvTjkgxNO59JStKXuUFJ35fkRXeSg+cl49ikr79Y7MQXSb9WMj6PWSoZ5yXb9WPWuvTYpD/PdN2kb0sybf5YT/LxTpLt+seBb1SSt+clY//cMsnYn2zX5+a8bku25yVj2+vxXhMgQGApAi2cQwK9hVsUAwECBAgQIECAAAECBAhcU8DaBAgQIECAAAECBAgQIECAQPsCHyKUQP/A4G8ECBAgQIAAAQIECBAgQKBVAXERIECAAAECBAgQIECAAAEChwqsN4F+aITGESBAgAABAgQIECBAgAABAusVcHICBAgQIECAAAECBAgQIHBDAQn0G2JPt1InQOBxBDabTblGeRxBkRIgQIAAAQIECBBYr4CTEyBAYK0CSUrSl7k/10j6viQvQkzyYd7cnNdtST/2xQKTF0nfn2T2z1YmQ1/0T9uvUU/mzzXslcz3v46/e52MY4f5hzyTcV63zuuSjP271kv6Ma/nvn6d9OOS7Frq6u1JPryvkpfvhenGST/m9flfv076cUmm0z+un7zcY5if5OOYFxN/fpGM/cOcXc9kHPvz9A+PZGzfNXdoT8axHyb7GwECBAhcTEAC/WKUD7WQYAkQIECAAAECBAgQIECAAIH2BURIgAABAgQIECBAgACBhxOQQH+4KxdwKQwIECBAgAABAgQIECBAgACB9gVESIAAAQIECBAgQIAAgeMFJNCPNzODwH0F7N6cQDJ+3FJyeL05CAERIECAAAECBAgQIECAwCigRuBAgWT8s4Tho5275zC9qw8lGccO/buew5zuuWvMW+3JuFcyX39rftfX7T2U7vVSynCm7jl3pq59KMl87EnfPjf/Em3D/t3zEuudu0bSx5vMP7tzDmVur6Gve871T9uS+T2Svn069ph6t/dQ5uYNfd0z6fdK5p9z87URIECAwHIEJNCXcxdOQuAhBARJgAABAgQIECBAgAABAgQItC8gQgIECBAgQIAAAQJrFZBAX+vNOTcBAvcQsCcBAgQIECBAgAABAgQIECDQvoAICRAgQIAAAQIEHlhAAv2BL1/oBAg8moB4CRAgQIAAAQIECBAgQIAAgfYFREiAAAECBAgQIHCOgAT6OXrmEiBA4ESBZPz+oxOXWOy0ZIwt2a7vO3iyPSdJyaTsW2Nff7J/j6QfM7dW0vclu59z86Ztye65SaZDz64nKcnucsgGye75SQ5ZwhgCBAgQIECAAAECBAgQuLJAkrN//7vUEbvvgT60vNizgRfJeA/7DBoI96AQbumwb69p/0GHP3BQ4t4PpDKMAAECixeQQF/8FTkgAQIECLQgIAYCBAgQIECAAAECBAgQIECgfQEREiBAgAABAusXkEBf/x2KgAABAgQIXFvA+gQIECBAgAABAgQIECBAgED7AiIkQIAAAQIEngUk0J8R/BAgQIAAAQItC4iNAAECBAgQIECAAAECBAgQaF9AhAQIECBA4DICEuiXcbQKAQIEThaY+96ladu0fvImV56YHP4dT8k4dnqspG+fxrurnvRjp/NPre/aY2ifrpv0+w59bz2Tfuzc/CTlrbldX9LPTzJd4qh6kg/ffdet91ZJ+nFJXqyf5MP85DbnfbG5F6OAGgECBAgQIECAAAECBF4JJIf/vrbr98FkXOPV8h9eJm/3fxh05t+Sfo8zlzlrenKfMyTX3Tfp109ylk+Lk5N8/POOY+JLTps33SPp15i2fayrECBAgMBiBCTQF3MVDkKAAAECBAgQaE9ARAQIECBAgAABAgQIECBAgED7AiIkQIBASwIS6Gfe5r/+67+W3/72tzvLd999d+YOphMgQIAAAQIECNxJwLYECBAgQIAAAQIECBAgQIBA+wIiJEBgQQL/8z//U7744oududcuL/v73//+qieWQD+T91/+5V/KH/7wh53l/fv3Z+5gOgECjyiQ9B/nlLx8LtVi+nFwp55xWOPU+fvmJaPlsFf33DdPPwECBNYr4OQECBAgQIAAAQJ3E8jzzseW5ylL+ul+Zx5Kko8feZ309aGve07P3b3uStKPS3Y/u3Fdmc4/tZ6M+wxrdGsPJRn7k7E+9A9zLvEc1uyeybhXMta7vq6cul83dyjJuG7S14e+7rlrj66vK0k/J5l/dmOGsmutJbQPZ0zm40j69mFc95yeu3s9lKQfm4zPoa97TucN9a59KMk4LxnrQ/8w5/Vz6O+eyTgv2a53Y4byeh2vH01AvATaEvjlL39Zvv3225251y4v+7vf/e6qQUugX5XX4gQIECBAgAABAgQInCRgEgECBAgQIECAAAECBAgQINC+gAgJLFBAAn2Bl+JIBAgQIECAAAECBAisW8DpCRAgQIAAAQIECBAgQIAAgfYFRNimgAR6m/cqKgIECBAgQIAAAQIECJwqYB4BAgQIECBAgAABAgQIECDQvoAIdwhIoO+A0UyAAIFrCgzfT9Q9k/E7jLrXXdm1d9c3lF1jtO8XSEbzZLu+fwUjCBAgQIAAgeUKOBkBAgQIELiPwPD7+iWe+yKY7rFv7K7+uTXm2rr50/ah3rW/VYZxbz3n5k/Hz/VP26Zjp/XpmKE+7Z/W5/qHtulzbs60f1d9Om9aH8bPtQ19hz6nawz16dyhrXtO24d61/5WGcYd+5yueezcYfywxvD6kOcwZ9fz1DUOmTeM2bf3tH+Y8/o5HTNXfz3eawIECDyewPUilkC/nq2VCRAgQIAAAQIECBAgQIDAcQJGEyBAgAABAgQIECBAgAABAncVuEkC/a4R2pwAAQIECBAgQIAAAQIECBC4iYBNCBAgQIAAAQIECBAgQIDA2gUk0PffoBEECBC4qsD0I5iGjaZt0/rQv7ZnMn5M+qnxJNtrHOMw3XdfPRn3OmYPYy8jkIz+yXZ9usvT01N5minTMeoECBAgQIAAgQMFDCNAgAABAgQeWCDZ/jOIZL5t+mdLD0wmdAIECDQrIIHe7NUOgXkSIECAAAECBAgQIECAAAEC7QuIkAABAgQIECBAgAABAgQuISCBfglFa1xPwMoECBAgQIAAAQIECBAgQIBA+wIiJECAAAECBAgQIECAwEIEJNAXchGO0aaAqAgQIECAAAECBAgQIECAAIH2BURIgAABAgQIECBAgEA7AhLo7dylSAhcWsB6FxJItr8r6UJLL36ZpI/91O+FSvr5ScqpayweyQG3BKZ3PVefTvj666/L1zNlOkadAAECBAgQIECAAIE3BXQSIECAwLPA3J9B7Gp7Hu6HAAECBBoWkEBv+HKFRuCxBURPgAABAgQIECBAgAABAgQItC8gQgIECBAgQIAAAQKXFZBAv6yn1QgQIHAZAasQIECAAAECBAgQIECAAAEC7QuIkAABAgQIECBAYHECEuiLuxIHIkCAwPoFRECAAAECBAgQIECAAAECBAi0LyBCAgQIECBAgECLAhLoLd6qmAgQWLxAMn63d/J2ffHBvDpgMsYzfE/UqyFvvky253frvDnpgM5kXHfPcN0ECBAgQIAAAQIECBAgQIBA+wIiJECAAAECBAjMCkigz7JoJECAAAECaxVwbgIECBAgQIAAAQIECBAgQKB9ARESIECAAAEC1xKQQL+WrHUJECBAgACB4wXMIECAAAECBAgQIECAAAECBNoXECEBAgQIEFiwgAT6gi/H0QgQaEOg+/jx1+WYyJLxo8eTsX7MGtcem8yfKxnbk+369FxJ3z/XlvR9ycvndOy0nozjhvbpHSRjf7Jdn44d5nfPoT3ZnpO8bBvGdvOGMrR1z+Tl+OTl627MUIb5u57JOHc6ZpifjP3Jdn0Y1z3n5nftyfa8ZGzrxgxlusaj1cVLgAABAgQIECBAgAABAgQItC8gQgIECBBoW0ACve37FR0BAgQIECBA4FAB4wgQIECAAAECBAgQIECAAIH2BURIgAABAnsEJND3AOkmQIAAAQIECBBYg4AzEiBAgAABAgQIECBAgAABAu0LiJAAAQLXF5BAv76xHQgQIECAAAECBAi8LaCXAAECBAgQIECAAAECBAgQaF9AhAQIrEJAAn0V1+SQBAi0JrDZbMqhZQ2xHxrL63HT2F73HfJ6On9an86dtg/1af9cfRi36zk353XbrrlD++vxr18P4y7xfL3269eH7PF6zuvXh6xhDAEC7QqIjAABAgQIECDwCAJJSqIkDBIGCYNk3QaP8O9tMV5ewIoEHkVAAv1RblqcBAgQIJ3Hj2gAABAASURBVECAAAECBAjMCWgjQIAAAQIECBAgQIAAAQIE2hcQIYGDBSTQD6YykAABAgQIECBAgAABAksTcB4CBAgQIECAAAECBAgQIECgfQER3lJAAv2W2vYiQIDAzwLJ4R/x9PMUDwIECBAgQIBAewIiIkCAAAECCxd4/fVVXh/+lXSsWHkPrOc9sPB/FTseAQItCKwsBgn0lV2Y4xIgQIAAAQIECBAgQIDAMgScggABAgQIECBAgAABAgQIEGhP4HUCvb0IRUSAAAECBAgQIECAAAECBAi8FvCaAAECBAgQIECAAAECBAgQmBFoLIE+E6EmAgQIECBAgAABAgQIECBAoDEB4RAgQIAAAQIECBAgQIAAgesISKBfx/W0Vc0iQKBJgSQleVmOCXTX90Uds4axbQtM3yNtRyo6AgQIECBAgEAjAsIgQIAAAQIECBAgQIAAgcUKSKAv9mrWdzAnJkCAAAECBAgQIECAAAECBNoXECEBAgQIECBAgAABAgRaFpBAb/l2xXaMgLEECBAgQIAAAQIECBAgQIBA+wIiJECAAAECBAgQIECAwJsCEuhv8ugksBYB5yRAgAABAgQIECBAgAABAgTaFxAhAQIECBAgQIAAAQLXFpBAP0P4p59+Kv/5n/9Zvvjii53lu+++K3//+9/P2MVUAg8g8IAhbjabcmh5QB4hEyBAgAABAgQIECBAgECLAmIiQIAAAQIECBAgsEfg+++/L//wD/+wM/f6q1/9qnzzzTd7VjmvWwL9DL9PPvmk/PKXvyzffvvtztKN+cUvfnHGLqYSILB0AecjQIAAAQIECBAgQIAAAQIE2hcQIQECBAgQIECAwPUFPvvss/KXv/xlZ+71z3/+c/nqq6+uehAJ9DN5379//+YK3SW/OUAnAQIE7itgdwIECBAgQIAAAQIECBAgQKB9ARESIECAAAECBJoRePfu3VVjkUC/Kq/FCRAgUGY/qp3LpQSsQ4AAAQIECBAgQIAAAQIECLQvIEICBAgQIECAwO0EJNBvZ20nAgQIECDwUsArAgQIECBAgAABAgQIECBAoH0BERIgQIAAAQKrEpBAX9V1OSwBAgQIEFiOgJMQIECAAAECBAgQIECAAAEC7QuIkAABAgQIPJqABPqj3bh4CRAgQIAAgU5AIUCAAAECBAgQIECAAAECBNoXECEBAgQIEDhaQAL9aDITCBAgQIAAAQL3FrA/AQIECBAgQIAAAQIECBAg0L6ACAkQIEDgHgIS6PdQtycBAgQIECBA4JEFxE6AAAECBAgQIECAAAECBAi0LyBCAgQIrFRAAn2lF+fYBAgQIECAAAEC9xGwKwECBAgQIECAAAECBAgQINC+gAgJEHhcAQn0x717kRMgQIAAAQIECDyegIgJECBAgAABAgQIECBAgACB9gVESIDAGQIS6GfgmUqAAAECBAgQIECAwC0F7EWAAAECBAgQIECAAAECBAi0LyBCAvcVkEC/r7/dCRAgQIAAAQIECBB4FAFxEiBAgAABAgQIECBAgAABAu0LiHD1AhLoq79CARAgQIAAAQIECBAgQOD6AnYgQIAAAQIECBAgQIAAAQIE2hcQYSkS6N4FBAgQIECAAAECBAgQINC6gPgIECBAgAABAgQIECBAgACB9gUuEqEE+kUYLUKAAAECBAgQIECAAAECBK4lYF0CBAgQIECAAAECBAgQIEDgVgL3S6DfKkL7ECBAgAABAgQIECBAgAABAvcTsDMBAgQIECBAgAABAgQIEFiRgAT6iZdlGgECBAgQIECAAAECBAgQINC+gAgJECBAgAABAgQIECBA4LEEJNAf676HaD0JECBAgAABAgQIECBAgACB9gVESIAAAQIECBAgQIAAAQJHCkigHwlm+BIEnIEAAQIECBAgQIAAAQIECBBoX0CEBAgQIECAAAECBAgQuL2ABPrtze346ALiJ0CAAAECBAgQIECAAAECBNoXECEBAgQIECBAgAABAqsUkEBf5bU5NIH7CdiZAAECBAgQIECAAAECBAgQaF9AhAQIECBAgAABAgQeVUAC/VFvXtwEHlNA1AQIECBAgAABAgQIECBAgED7AiIkQIAAAQIECBAgcLKABPrJdCYSIEDg1gL2I0CAAAECBAgQIECAAAECBNoXECEBAgQIECBAgMA9BSTQ76lvbwIECDySgFgJECBAgAABAgQIECBAgACB9gVESIAAAQIECBBYuYAE+sov0PEJECBA4DYCdiFAgAABAgQIECBAgAABAgTaFxAhAQIECBAgQEAC3XuAAAECBAi0LyBCAgQIECBAgAABAgQIECBAoH0BERIgQIAAAQIXEJBAvwCiJQgQIECAAIFrClibAAECBAgQIECAAAECBAgQaF9AhAQIECBAYBkCEujLuAenIECAAAECBFoVEBcBAgQIECBAgAABAgQIECDQvoAICRAgQKAZAQn0Zq5SIAQIECBAgACBywtYkQABAgQIECBAgAABAgQIEGhfQIQECBAgMApIoI8WagQIECBAgAABAm0JiIYAAQIECBAgQIAAAQIECBBoX0CEBAgQuKiABPpFOS1GgAABAgQIECBA4FIC1iFAgAABAgQIECBAgAABAgTaFxAhAQJLE5BAX9qNOA8BAgQIECBAgACBFgTEQIAAAQIECBAgQIAAAQIECLQvIEICDQpIoDd4qUIiQIAAAQIECBAgQOA8AbMJECBAgAABAgQIECBAgACB9gVESGBOQAJ9TuWIth9//PHN0d9///2b/ToJECBAgAABAgQIECBwYQHLESBAgAABAgQIECBAgAABAu0LPGyE//d//3fV2CXQz+T985//XD777LPy+eefz5affvqpdOXMbUwnQIAAAQIECBAgQIDAgwgIkwABAgQIECBAgAABAgQIEGhfYD7C7j9e/vTTT2fzrl0+tsvL/vWvfy2bzaZc6y8J9DNlv/zyy9L9V+bdRc2V9+/fl08+wXwms+kECBAgQIAAAQIECBBYh4BTEiBAgAABAgQIECBAgAABAicLvHv3rvzwww9lLu/atXV52a+++qokOXmPfRMPyuzuW0Q/AQIECBAgQIAAAQIECBAgsH4BERAgQIAAAQIECBAgQIAAgUcXeIQE+qPfsfgJECBAgAABAgQIECBAgMAjCIiRAAECBAgQIECAAAECBAicLSCBfjbhtRewPgECBAgQIECAAAECBAgQINC+gAgJECBAgAABAgQIECBAYAkCEuhLuIWWzyA2AgQIECBAgAABAgQIECBAoH0BERIgQIAAAQIECBAgQKARAQn0Ri5SGNcRsCoBAgQIECBAgAABAgQIECDQvoAICRAgQIAAAQIECBAgMAhIoA8SngTaExARAQIECBAgQIAAAQIECBAg0L6ACAkQIECAAAECBAgQuKCABPoFMS1FgMAlBay1VoEkJdld9sWV7J6b9H371tjXn/TrJPPPc+cn2bfEm0bJ/vl7N5gMSPLmfpOhO6vJ+WvsXFwHAQIECBAgQIAAAQIPLCB0AgQIECBAgAABAssSkEBf1n04DQECrQiIgwABAgQIECBAgAABAgQIEGhfQIQECBAgQIAAAQLNCUigN3elAiJAgMD5AlYgQIAAAQIECBAgQIAAAQIE2hcQIQECBAgQIECAwLaABPq2iRYCBAgQWLeA0xMgQIAAAQIECBAgQIAAAQLtC4iQAAECBAgQIHAVAQn0q7BalAABAo8lkIzfj73ZbMpbJRnHTpWSvv2tuUNf0o+dzt9XT/o5Sd48X7dHMo6drpv07d2YfSXpx87NT946Q++X9POTTJc4qp6kJKfvlfTzk9PXOOrABhMgQIAAAQIECBAgQIAAgYcRECgBAgQIECCwVAEJ9KXejHMRIECAAIE1CjgzAQIECBAgQIAAAQIECBAg0L6ACAkQIECAQMMCEugNX67QCBAgQIAAgeMEjCZAgAABAgQIECBAgAABAgTaFxAhAQIECBB4S0AC/S0dfQQIECBwkMD048wPmjAzaFhjpksTAQKHCRh1psDT01N5+rmcuZTpBPYKDO+17rl3sAEEThDo3ltDOWG6KQSOFvB+O5rMhCMFaq2l/lyOnGo4AQIEWhMQDwECBAhcWUAC/crAlidAgAABAgQIEDhEwBgCBAgQIECAAAECBAgQIECgfQEREiBAYPkCEujLvyMnJECAAAECBAgQWLqA8xEgQIAAAQIECBAgQIAAAQLtC4iQAIGHEJBAf4hrFiQBAgQIECBAgACB3QJ6CBAgQIAAAQIECBAgQIAAgfYFREiAwGECEuiHORlFgAABAgQIECBAgMAyBZyKAAECBAgQIECAAAECBAgQaF9AhARuJiCBfjNqGxEgQIAAAQIECBAgQOC1gNcECBAgQIAAAQIECBAgQIBA+wIiXJOABPqabstZCRAgQIAAAQIECBAgsCQBZyFAgAABAgQIECBAgAABAgTaF3iwCCXQH+zChUuAAIF7CCQpSV82m00ZyjFnSfr5SU6af8xext5XIBnvOtmuT0/39PRUns4o07VKSSlXL+XjX/W5ds3yvPzHn1pLqbWUWkuptZRaS6m1lFpLqbWUWkuptZRaS6m1lFpLqbWUWkuptZRaS6m1lFpLqbWUWkuptZRaS6m1lFo/blWuTthdUxn/Ouf+X88dVy3ldd85r6frlqsDlY9/dddyq/Jx0+dKraXUWkqtpdRaSq2l1FpKraXUWkqtpdRaSq2l1FpKraXUWkqtpdRaSq2l1FpKraXUWkqtpdRaSq2l1FpKrc+bDD/d++HaZdjr+XnO++D13OflPv687jv29ceFPlSuDTJd/8OGH/7WXcu1y4eNnv9Waym1llJrKbWWUmsptZZSaym1llJrKbWWUmsptZZSaym1llJrKbWWUmsptZZSaym7yvM248805GvUx52u9u+eY99Tc+PHY14D4fWa4271uXqP8rztx59aS6m1lFpLqbWUWkuptZRaS6m1lFpLqbWUWkuptZRaS6m1lFpLqbWUWkuptZRaS6m1lFpLqbWUWkup9eM2feU1xTVe9ztd9P3WvWd+XvYi6w5rlav/72YHXD7+1V3HNcvHjZ4rtZZSaym1llJrKbWWUmsptZZSaym1llJrKbWWUmsptZZSaym1llJrKbWWUmsptZZSaym1llJrKbWWUmsptZZSaym1llLr84bDTxfytcuw1/Oze29cqjwv54cAAQIECBAgQIDASQLHTpJAP1bMeAIECBAgQIAAAQIECBAgcH8BJyBAgAABAgQIECBAgAABAgSuILCwBPoVIrQkAQIECBAgQIAAAQIECBAgsDABxyFAgAABAgQIECBAgAABAssUkEC/5L1YiwABAgQIECBAgAABAgQIEGhfQIQECBAgQIAAAQIECBAg0KyABHqzV3t8YGYQIEDg0gJJSpKy2Ww+lmP2SPr5yelrHLOfscsQmL5f5urTU871axv/eWNxnIX31nFe3l/neXmJhmKJAAAQAElEQVS/nefn/bffz3tsv9Ejv4+uEfvwnrvG2tb0fu7eA8N7zJMAAQIECBAgQIDAtQUk0K8tbP1bCdiHAAECBAgQIECAAAECBAgQaF9AhAQIECBAgAABAgQIELiqgAT6VXktTuBQAeMIECBAgAABAgQIECBAgACB9gVESIAAAQIECBAgQIDA0gUk0Jd+Q85HYA0CzkiAAAECBAgQIECAAAECBAi0LyBCAgQIECBAgAABAg8gIIH+AJcsRAIE3hbQe1mBJCXpS/c9dV05Zoekn5ukdHOHcswaxhIgQIAAAQIECBAgQIAAgdcCXhMgQIAAAQIECBA4REAC/RAlYwgQILBcAScjQIAAAQIECBAgQIAAAQIE2hcQIQECBAgQIECAwI0EJNBvBG0bAgQIEJgT0EaAAAECBAgQIECAAAECBAi0LyBCAgQIECBAgMB6BCTQ13NXTkqAAIHFCiTjx65PD5mM7cl2fW7sXFuyPTfJdOiLepKPHyM/dAwfBd89k7E/2a53Y4YyzO+eQ1vy85w3nsPYbt5Qhrbumby9RjdmKMP8Xc9kXGs6ZpifjP3Jdn0Y1z3n5nftyfa8ZGzrxgxluoY6AQIECBAgQIAAAQIECBBYvYAACBAgQIAAgYcSkEA/87p///vfl9/85jc7y/fff3/mDqYTIECAAIHrCFiVAAECBAgQIECAAAECBAgQaF9AhAQIECBAYE0Cf/rTn8o//dM/7cy9dnnZP/zhD1cNSQL9TN7f/e535T/+4z92ls8+++zMHUwnQIAAAQIEZgQ0ESBAgAABAgQIECBAgAABAu0LiJAAAQIEHkzgyy+/LN98883O3GuXl/3tb397VRUJ9KvyWpwAAQIECBAgMCegjQABAgQIECBAgAABAgQIEGhfQIQECBAgsEYBCfQ13pozEyBAYGECw3dfH/uchnHs3G78dP603vUNZdo+1Ie+Xc9h3K7nrnnT9l1zh/bp2Ln6MO4Sz7n1p22H7DEdP1c/ZI1LjZnuf6k1rXOkQKPDvbcavdiFhuX9ttCLaehY3mMNXeZKQhnecys5rmOuUGB4j3XPFR7fkQkQILBOAacmQIDAgwpIoD/oxQubAAECBAgQIPCoAuImQIAAAQIECBAgQIAAAQIE2hcQIQECBE4VkEA/Vc48AgQIECBAgAABArcXsCMBAgQIECBAgAABAgQIECDQvoAICRC4o4AE+h3xbU2AAAECBAgQIEDgsQRES4AAAQIECBAgQIAAAQIECLQvIEIC6xaQQF/3/Tk9AQIECBAgQIAAAQK3ErAPAQIECBAgQIAAAQIECBAg0L6ACB9eQAL94d8CAAgQIECAAAECBAgQeAQBMRIgQIAAAQIECBAgQIAAAQLtC4jwfAEJ9PMNrUCAAAECBAgQIECAAAEC1xWwOgECBAgQIECAAAECBAgQINC+wCIilEBfxDU4BAECBAgQOF1gs9mUoZy+ipkECBAgQIDA9QSsTIAAAQIECBAgQIAAAQIECKxF4PQE+loidE4CBAgQIECAAAECBAgQIEDgdAEzCRAgQIAAAQIECBAgQIDAAwk8bAL9ge5YqAQIECBAgAABAgQIECBA4GEFBE6AAAECBAgQIECAAAECBI4RkEA/Rms5Y52EAAECBAgQIECAAAECBAgQaF9AhAQIECBAgAABAgQIECBwYwEJ9BuD264TUAgQIECAAAECBAgQIECAAIH2BURIgAABAgQIECBAgACB9QlIoK/vzpz43gL2J0CAAAECBAgQIECAAAECBNoXECEBAgQIECBAgAABAg8pIIH+kNcu6EcWEDsBAgQIECBAgAABAgQIECDQvoAICRAgQIAAAQIECBA4TUAC/TQ3swgQuI+AXQkQIECAAAECBAgQIECAAIH2BURIgAABAgQIECBA4G4CEuh3o7cxAQKPJyBiAgQIECBAgAABAgQIECBAoH0BERIgQIAAAQIECKxZQAJ9zbfn7AQIELilgL0IECBAgAABAgQIECBAgACB9gVESIAAAQIECBB4cAEJ9Ad/AwifAAECjyIgTgIECBAgQIAAAQIECBAgQKB9ARESIECAAAECBM4VkEA/V9B8AgQIECBwfQE7ECBAgAABAgQIECBAgAABAu0LiJAAAQIECBBYgIAE+gIuwREIECBAgEDbAqIjQIAAAQIECBAgQIAAAQIE2hcQIQECBAgQaENAAr2NexQFAQIECBAgcC0B6xIgQIAAAQIECBAgQIAAAQLtC4iQAAECBAj8LCCB/jOEBwECBAgQIECgRQExESBAgAABAgQIECBAgAABAu0LiJAAAQIELicggX45SysRIECAAAECBAhcVsBqBAgQIECAAAECBAgQIECAQPsCIiRAgMCiBCTQF3UdDkOAAAECBAgQINCOgEgIECBAgAABAgQIECBAgACB9gVESIBAawIS6K3dqHgIECBAgAABAgQIXELAGgQIECBAgAABAgQIECBAgED7AiIkQGBLQAJ9i0QDAQIECBAgQIAAAQJrF3B+AgQIECBAgAABAgQIECBAoH0BERK4hoAE+jVUrUmAAAECBAgQIECAAIHTBcwkQIAAAQIECBAgQIAAAQIE2hcQ4UIFJNAXejGORYAAAQIECBAgQIAAgXUKODUBAgQIECBAgAABAgQIECDQvkC7EUqgt3u3IiNAgAABAgQIECBAgACBYwWMJ0CAAAECBAgQIECAAAECBNoXeCNCCfQ3cHQRIECAAAECbQokKclhpU2B20eVjN63392OBJYnkIz/TCTb9eWd+LwTJWOM5610+dnJeLbksPolT5GMe15iXWsQuJdAMr6Xk931e53vkH2T8dyHjL/VmGQ8V3J4/ZLnS8Z9L7mutQgQIECAAAECBAgsUWANCfQlujkTAQIECBAgQIAAAQIECBAgcFkBqxEgQIAAAQIECBAgQIAAgbsLSKCfeQX/9m//Vn7961/vLH/961/P3MF0AgQIECBAgAABAgQIECBAYPkCTkiAAAECBAgQIECAAAEC5wr88MMP5csvv9yZe/3Hf/zH8u///u/nbvPmfAn0N3n2d/7zP/9z+eMf/7izfP755/sXWfIIZyNAgAABAo0IJOPHTm42m3JoSfp5jTAIgwCBOwok/b9Pkuz9d1Ayjr3jkR9q60P/d6Ebd0mYbr2hXHJdaxE4WuCECcn476rhfbzvmYxzTtjy4afs8532XxLrWute8ozWIkCAAAECBAgQaEPg008/LX/605925l7/67/+60Ny/ZrRSqBfU9fadxdwAAIECBAgQIAAAQIECBAgQKB9ARESIECAAAECBAgQIPA4Au/evbtqsBLoV+W1OIGzBEwmQIAAAQIECBAgQIAAAQIE2hcQIQECBAgQIECAAAECCxKQQF/QZTgKgbYEREOAAAECBAgQIECAAAECBAi0LyBCAgQIECBAgAABAm0JSKC3dZ+iIUDgUgLWIUCAwM8Cw/c9/vxy65GM3+OZbNe3JrxqSLbnJHkxKklJMtuWvGx/MejnF0k+zE/yc0v5+DoZ28rzX0le9CV5bt3/k+SkeXMrJ9trJWPb3BxtBJYskPTv3+HfJ91z33m7MUNJ+vlJPk5L8vGfuY+NOyrJ/rHJOCbZrs8tnYzjpv3J2J709V390/ahnvRzkvnnMG6Jz2T+zEnfPnfmpO9L8qI7ydYdJ9ttLyY9v0jGMcl2/XmIHwJ3FRj+3dY9dx0k2X7vJmPb3Lzk7f7pnGQcm4z1uTHTtmk9Gecl2/Xp2CXVk+2zJi/b5s6bjGOG/mS7retL5tu7vq4kY3+yXe/G3LTYjAABAgQIECBAgMArAQn0VyBeEiBAoAUBMRAgQIAAAQIECBAgQIAAAQLtC4iQAAECBAgQIEDg8gIS6Jc3tSIBAgQInCdgNgECBAgQIECAAAECBAgQINC+gAgJECBAgAABAosUkEBf5LU4FAECBAisV8DJCRAgQIAAAQIECBAgQIAAgfYFREiAAAECBAi0KiCB3urNiosAAQIECJwi0PCczWZThpKkJC/LMaEn49xhzV3PZBw73SPp24+dN13jUvWkP0uSj0bTcyVj/3TPZGyfjh/qydg/nTdXT8axw/xdz2QcO7eWNgIEDhNIxn+Wdv3zNrQn49i51ZOxf5gzfU7n7GpP+jWm/XP1pB+XZLrs2fUkW//bkLxsm9skGcfMnXfaloxj59ba1Zb086ZrTccmfX8y/+/x6bxkHDtdQ53AKQK73ltJ/z47Zs2kn5Oc9j7edZbpGZJ+j+nYaX06dmiftiX9/OS0M07XOrWejGdItuu71k36sUNcbz2Tfuyutebak35O8tJmGJvM98+dIxnHDvM9CRC4goAlCRAgQIAAgZ0CEug7aXQQIECAAAECaxNwXgIECBAgQIAAAQIECBAgQKB9ARESIECAAIFrCkigX1PX2gQIECBAgACBwwWMJECAAAECBAgQIECAAAECBNoXECEBAgQILFxAAn3hF+R4BAgQIECAwOUF9n1UZHL4x0Ym49hku37q6adnPHWNQ+ddZq/t3Y5Zdzo22XZMxrbtnbQQIHCKwCX/uZuudcpZujnDGsn4z3uyXe/GXqMM+7/13Ldvsn3eZGzbN39X/3Cmff3duGTcL9mu71pDO4FzBbr33+uSnPYeTLbnJWPbvrNOz5GM84b2ffN39Q/zu2cyrpts13etcW57t/dbZd/6yfZZk5dt+9aY65+eaV9/8nK/5OXrufnaCBAgQGBJAs5CgACB9gUk0Nu/YxESIECAAAECBAjsE9BPgAABAgQIECBAgAABAgQItC8gQgIECBwgIIF+AJIhBAgQIECAAAECBJYs4GwECBAgQIAAAQIECBAgQIBA+wIiJEDgNgIS6LdxtgsBAgQIECBAgAABAvMCWgkQIECAAAECBAgQIECAAIH2BURIYDUCEuiruSoHJUCAAAECBK4pMP3exmk96b+Tcdfe07H76rvW0F5K0jsnKac4JuP8ZL5e/EXgKgLnL5psv2fPX3X/Csm47yn/3O3f4bgRSX+eS5wl6ddK5p/Hnezw0fvOPu0/fNX9I5Mxzukec/X9qxlB4HICc+/BZHy/7tppbt6utl1rXKM9Gc++6zxD+9z+yTg/ma/Pzbtk23C+Q56X3DcZ49239yX3tRYBAgQIECBA4HICVnokAQn0R7ptsRIgQIAAAQIECBAgQGAqoE6AAAECBAgQIECAAAECBAi0LyDCowQk0I/iMpgAAQIECBAgQIAAAQIEliLgHAQIECBAgAABAgQIECBAgED7AreOUAL91uL2I0CAAAECBO4ikIwfG3nLAySn7ZucNm+ILTlv/rDOOc/kcmdI3l5r30eBdv3nxGIugXMEuvdfV5L593HX97ok49hp3zHnSPo1jpkzHZv085NMm+9WT/Lh6x4OOcDUbK5+yBrXGJP0MSTplr9ZSfLBLsnN9rTRYwgkuct7K3l732Tsn/47IOnbr3U7Sb9+ktktpmfZ4NVMQgAAEABJREFUVZ+deOPGJB/u9cbbftgzya23tR8BAgQIECBAgACBLYELJ9C31tdAgAABAgQIECBAgAABAgQINCcgIAIECBAgQIAAAQIECBAg0KaABPr0XtUJECBAgAABAgQIECBAgACB9gVESIAAAQIECBAgQIAAAQIEdghIoO+AWWOzMxMgQIAAAQIECBAgQIAAAQLtC4iQAAECBAgQIECAAAECBK4nIIF+PVsrHydgNAECBAgQuKrA9Hsmk3z8jsXk7fowb3q4oa17JofN78bOrZHMz+/GD2U6b6gPfd0z2V6jax/KMOfSz2H97pmcd4ZujaEk56116TitR+BSAsN7vHsm2+/zZGzrxgwlGduHswx93TMZ+5Ox3vV1ZZjz+tn1DSUZ5yV9fejrnq/nnvM66ddP8mKZbp+uJJn9d3TX15UXkxbwojvTUJL5syd9+zCue17y6N16Q0n6vZLxOfR1z0vuay0C3XtqKMn4nkt21zebTRnmTAWHtu6Z7J6f5OP8buywRjLO6dqHMvR3z6EtGcd27XMl6cdM+4b53TPp+5Px2bUPZTpvCfXhXMl43mS+Poy95LmHNbtncrt9LxmDtQgQIECAAAECBB5HQAL9ce5apFcVsDgBAgQIECBAgAABAgQIECDQvoAICRAgQIAAAQIECBBoXUACvfUbFh+BQwSMIUCAAAECBAgQIECAAAECBNoXECEBAgQIECBAgAABAnsFJND3EhlAgMDSBZyPAAECBAgQIECAAAECBAgQaF9AhAQIECBAgAABAgRuISCBfgtlexAgQGC3gB4CBO4g0H334qFl3/H2rXPq/H3zpv1zZ9jVP7RP5wxtu56HjJ2OGerT9Ya27jltn6t3Y16X6bhp37RdncCaBKbv47n6NJZp/7R9qE/7p/W5/qHt9XM6b6hPxwxt3XNo7+pDGdp2PYdxr59z41+PGV4PY4fX3XNoO+fZrdOVc9YY5nbrvFWGcdPndPwh7dMxc/XpekN9Om5o657TdnUC5wp076lDyiH77Ftnbo3pnLn+aduusdP2oT6dN60P/dPnrv5p+yn1XXucu9Z03Wl9bt25/rm2ubmv26bzpvVh3Fzb0Lfyp+MTIECAAAECBAisREACfSUX5ZgECBBYpoBTESBAgAABAgQIECBAgAABAu0LiJAAAQIECBAg8DgCEuiPc9ciJUCAAIHXAl4TIECAAAECBAgQIECAAAEC7QuIkAABAgQIECBwhIAE+hFYhhIgQIAAgSUJOMu6BZKU5LAyfIzluiN2egIECBAgQIAAAQIECBA4RcAcAgQIECBA4LYCEui39bYbAQIECBAg0Av4OwECBAgQIECAAAECBAgQINC+gAgJECBAgMDqBCTQV3dlDkyAAAECBAjcX8AJCBAgQIAAAQIECBAgQIAAgfYFREiAAAECjygggf6Ity5mAgQIECBA4LEFRE+AAAECBAgQIECAAAECBAi0LyBCAgQIEDhJQAL9JLZ+Uvd9pN9++2359NNPyy9+8Yut0rX/5S9/Kd24foa/EyBAgAABAgR6ge7/Pji09DP8fRDwJECAAAECBAgQIECAAAECBNoXECEBAo8p8NNPP5V3795t5V2HXGyXf/3f//3fq+JIoJ/Bm6R88skn5Ycffih///vft0rX3l1wkuIvAgQIECBAgAABAqUUCAQIECBAgAABAgQIECBAgED7AiIkQOBEgS73+uOPP27lXYdcbJd//fzzz09c/bBpEuiHOe0c9atf/WpnX9fx/v377qEQIECAAAECBAgQaEBACAQIECBAgAABAgQIECBAgED7AiIksGyB7j9gvuYJJdCvqWttAgQIECBAgAABAgSWI+AkBAgQIECAAAECBAgQIECAQPsCIiRwpoAE+pmAphMgQIAAAQIECBAgQOAWAvYgQIAAAQIECBAgQIAAAQIE2hcQ4f0FJNDvfwdOQIAAAQIECBAgQIAAgdYFxEeAAAECBAgQIECAAAECBAi0L9BEhBLoTVyjIAgQIECAAAECBAgQIEDgegJWJkCAAAECBAgQIECAAAECBNoX6COUQO8d/J0AAQIECBAgQIAAAQIECLQpICoCBAgQIECAAAECBAgQIEDgYIHVJtAPjtBAAgQIECBAgAABAgQIECBAYLUCDk6AAAECBAgQIECAAAECBG4pIIF+S+1xLzUCBAgQIECAAAECBAgQIECgfQEREiBAgAABAgQIECBAgMDKBCTQV3ZhyziuUxAgQIAAAQIECBAgQIAAAQLtC4iQAAECBAgQIECAAAECjycggf54dy5iAgQIECBAgAABAgQIECBAgED7AiIkQIAAAQIECBAgQIDACQIS6CegmULgngL2JkCAAAECBAgQIECAAAECBNoXECEBAgQIECBAgAABAvcRkEC/j7tdCTyqgLgJECBAgAABAgQIECBAgACB9gVESIAAAQIECBAgQGC1AhLoq706BydA4PYCdiRAgAABAgQIECBAgAABAgTaFxAhAQIECBAgQIDAIwtIoD/y7YudAIHHEhAtAQIECBAgQIAAAQIECBAg0L6ACAkQIECAAAECBM4SkEA/i89kAgQIELiVgH0IECBAgAABAgQIECBAgACB9gVESIAAAQIECBC4t4AE+r1vwP4ECBAg8AgCYiRAgAABAgQIECBAgAABAgTaFxAhAQIECBAg0ICABHoDlygEAgQIECBwXQGrX0ogSUmOL5fav1sn6ffv6goBAgQIECBAgAABAgQIEBgF1AgQIECAAIFOQAK9U1AIECBAgACBdgVERoAAAQIECBAgQIAAAQIECLQvIEICBAgQIHAhAQn0C0FahgABAgQIECBwDQFrEiBAgAABAgQIECBAgAABAu0LiJAAAQIEliMggb6cu3ASAgQIECBAgEBrAuIhQIAAAQIECBAgQIAAAQIE2hcQIQECBJoSkEBv6joFQ4AAAQIECKxFYLPZlEPLJWMa9rzkmu2uJTICBAgQIECAAAECBAgQIECgfQEREiBA4KWABPpLD68IECBAgAABAgQItCEgCgIECBAgQIAAAQIECBAgQKB9ARESIHBxAQn0i5NakAABAgQIECBAgACBcwXMJ0CAAAECBAgQIECAAAECBNoXECGBJQpIoC/xVpyJAAECBAgQILBHIElJdpdd05N+zrQ/6duSTJs/rv+icfIiyccxyXZ9MlSVwKMJiJcAAQIECBAgQIAAAQIECBBoX0CEjQpIoDd6scIiQIAAAQIECBAgQIDAaQJmESBAgAABAgQIECBAgAABAu0LiHCXgAT6LhntBAgQIECAAAECBAgQILA+AScmQIAAAQIECBAgQIAAAQIE2he4YoQS6FfEtTQBAgQIECBAgAABAgQIEDhGwFgCBAgQIECAAAECBAgQIEDgvgK3SKDfN0K7EyBAgAABAgQWKJCkJLvL3JGTcfxmsylvlWQcO7fWrrZknDesPx2bbPcP414/k3HsdA11AgQIEGhWQGAECBAgQIAAAQIECBAgQGD1AhLoe6/QAAIECBAgQIAAAQIECBAgQKB9ARESIECAAAECBAgQIECAAIFSJNBbfxeIjwABAgQIECBAgAABAgQIEGhfQIQECBAgQIAAAQIECBAgcBEBCfSLMFrkWgLWJUCAAAECrQq8/rjz16/3xZ3k6I+A37dm1z89R/f6dZn2J9c5w+s9vSZAgAABAgTaFxAhAQIECBAgQIAAAQIEliIggb6Um3COFgXERIAAAQIECBAgQIAAAQIECLQvIEICBAgQIECAAAECBBoSkEA/8zJ//PHHN1fY1//mZJ0E7ipgcwIECBAgQIAAAQIECBAgQKB9ARESIECAAAECBAgQIDAVkECfapxQ/+abb8oXX3xRvvrqq9nyt7/9rUiinwBrCoFzBcwnQIAAAQIECBAgQIAAAQIE2hcQIQECBAgQIECAQFMC3377bXn//v1s3nXIx/7xj38s1/xLAv1M3d/85jelu8j//u//LnOlu+B3796duYvpBAg8moB4CRAgsE9gs9mUQ8u+tY7pT1KSvuzb/5h1jSVAgAABAgQIECDwiAJiJkCAAAECBAgQeCnQ/YfL33333WzedcjF/vrXv3456cKvJNAvDGo5AgQIECgICBAgQIAAAQIECBAgQIAAgfYFREiAAAECBAgQaFJAAr3JaxUUAQIECJwuYCYBAgQIECBAgAABAgQIECDQvoAICRAgQIAAAQLzAhLo8y5aCRAgQIDAOgWcmgABAgQIECBAgAABAgQIEGhfQIQECBAgQIDA1QQk0K9Ga2ECBAgQIEDgWAHjLyeQpCR9udyq+1dK+j2T7B9sBAECBAgQIECAAAECBAg8pICgCRAgQIDAkgUk0Jd8O85GgAABAgQIrEnAWQkQIECAAAECBAgQIECAAIH2BURIgAABAo0LSKA3fsHCI0CAAAECBAgcJmAUAQIECBAgQIAAAQIECBAg0L6ACAkQIEBgn4AE+j4h/QQIECBAgACBhQhsNpsylCQfP6I92a4P47rnJY/frTeU5Hb77o3BAAIECBAgQIAAAQIECBAgQKB9ARESIEDgBgIS6DdAtgUBAgQIECBAgACBtwT0ESBAgAABAgQIECBAgAABAu0LiJAAgXUISKCv456ckgABAgQIECBAgMBSBZyLAAECBAgQIECAAAECBAgQaF9AhAQeRkAC/WGuWqAECBAgQIAAAQIECGwLaCFAgAABAgQIECBAgAABAgTaFxAhgcMFJNAPtzKSAAECBAgQIHCWwGazKUM5a6HnycM6u57PQ2Z/hvHTzqGte07b99W78a/LdM60b9quToDABQUsRYAAAQIECBAgQIAAAQIECLQvIMKbCkig35TbZgQIECBAgAABAgQIECAwCHgSIECAAAECBAgQIECAAAEC7QusLUIJ9LXdmPMSIECAAAECBAgQIECAwBIEnIEAAQIECBAgQIAAAQIECBBoUOBVAr3BCIVEgAABAgQIECBAgAABAgQIvBLwkgABAgQIECBAgAABAgQIEJgTaCuBPhehNgIECBAgQIAAAQIECBAgQKAtAdEQIECAAAECBAgQIECAAIErCUigXwn2lGXNIUCAAAECBAgQIECAAAECBNoXECEBAgQIECBAgAABAgQILFdAAn25d7O2kzkvAQIECBAgQIAAAQIECBAg0L6ACAkQIECAAAECBAgQINC0gAR609cruMMFjCRAgAABAgQIECBAgAABAgTaFxAhAQIECBAgQIAAAQIE3haQQH/bRy+BdQg4JQECBAgQIECAAAECBAgQINC+gAgJECBAgAABAgQIELi6gAT61YltQIDAPgH9BAgQIECAAAECBAgQIECAQPsCIiRAgAABAgQIECCwBgEJ9DXckjMSILBkAWcjQIAAAQIECBAgQIAAAQIE2hcQIQECBAgQIECAwIMISKA/yEULkwABAvMCWgkQIECAAAECBAgQIECAAIH2BURIgAABAgQIEFEt9YEAABAASURBVCBwqIAE+qFSxhEgQIDA8gSciAABAgQIEPh/9u4F1u5srwv4Wj0t7UmmTVtnMq11RgUVRTFINBolatCIIEECAgYlxCBRAkaBoLmAUUgIJkgEMTxU0KsEFTEBJVdJCCQiDx/ABR885EKYodPpdJweOp2enunjOP/T2dPd073P2Xv/X2v9/p/J/ffs/X+stb6f9Tex850WAgQIECBAgACB+AISEiBAgAABAgQGFFCgD4htKgIECBAgMC/gMwECBAgQIECAAAECBAgQIBBfQEICBAgQIECgLgEFel37ZbUECBAgQKAUAesgQIAAAQIECBAgQIAAAQIE4gtISIAAAQIEJiegQJ/clgtMgAABAgQIpMSAAAECBAgQIECAAAECBAgQiC8gIQECBAgQWF9Agb6+mScIECBAgAABAuMKmJ0AAQIECBAgQIAAAQIECBCILyAhAQIECIwioEAfhd2kBAgQIECAAIHpCkhOgAABAgQIECBAgAABAgQIxBeQkAABArUKKNBr3TnrJkCAAAECBAgQGEPAnAQIECBAgAABAgQIECBAgEB8AQkJEJiwgAJ9wpsvOgECBAgQIECAwNQE5CVAgAABAgQIECBAgAABAgTiC0hIgEAbAQV6Gz3PEiBAgAABAgQIECAwnICZCBAgQIAAAQIECBAgQIAAgfgCEhIYWUCBPvIGmJ4AAQIECBAgQIAAgWkISEmAAAECBAgQIECAAAECBAjEF5CwfgEFess9fOmll9Lly5eXHru7uy1n8DgBAgQIECBAgAABAgRGF7AAAgQIECBAgAABAgQIECBAIL7A6AnffPPNdP78+aXda9PLXr16tdd1KtBb8r744ovp2rVrS4/t7e2WM3icAAECBAgQIECAAAECBNoJeJoAAQIECBAgQIAAAQIECBCoQeDs2bNpZ2dnaffa9LJXrlxZEqWb0wr0bhyNQoAAAQIECBAgQIAAAQIE+hEwKgECBAgQIECAAAECBAgQIDCYwGgF+mAJTUSAAAECBAgQIECAAAECBAiMJmBiAgQIECBAgAABAgQIECBQk4ACfbPd8hQBAgQIECBAgAABAgQIECAQX0BCAgQIECBAgAABAgQIEJiYgAJ9Yhv+KK5fCRAgQIAAAQIECBAgQIAAgfgCEhIgQIAAAQIECBAgQIDAugIK9HXF3D++gBUQIECAAAECBAgQIECAAAEC8QUkJECAAAECBAgQIECAwAgCCvQR0E05bQHpCRAgQIAAAQIECBAgQIAAgfgCEhIgQIAAAQIECBAgUKeAAr3OfbNqAmMJmJcAAQIECBAgQIAAAQIECBCILyAhAQIECBAgQIAAgckKKNAnu/WCE5iigMwECBAgQIAAAQIECBAgQIBAfAEJCRAgQIAAAQIECGwuoEDf3M6TBAgQGFbAbAQIECBAgAABAgQIECBAgEB8AQkJECBAgAABAgRGFVCgj8pvcgIECExHQFICBAgQIECAAAECBAgQIEAgvoCEBAgQIECAAIHaBRTote+g9RMgQIDAEALmIECAAAECBAgQIECAAAECBOILSEiAAAECBAgQSAp0LwEBAgQIEAgvICABAgQIECBAgAABAgQIECAQX0BCAgQIECBAoAsBBXoXisYgQIAAAQIE+hMwMgECBAgQIECAAAECBAgQIBBfQEICBAgQIFCIgAK9kI2wDAIECBAgQCCmgFQECBAgQIAAAQIECBAgQIBAfAEJCRAgQCCOgAI9zl5KQoAAAQIECBDoWsB4BAgQIECAAAECBAgQIECAQHwBCQkQIEBgTkCBPofhIwECBAgQIECAQCQBWQgQIECAAAECBAgQIECAAIH4AhISIECgWwEFereeRiNAgAABAgQIECDQjYBRCBAgQIAAAQIECBAgQIAAgfgCEhIgUJyAAr24LbEgAgQIECBAgAABAvULSECAAAECBAgQIECAAAECBAjEF5CQQEQBBXrEXZWJAAECBAgQIECAAIE2Ap4lQIAAAQIECBAgQIAAAQIE4gtISGChgAJ9IYuTBAgQIECAAAECBAgQqFXAugkQIECAAAECBAgQIECAAIH4AhL2JaBA70vWuAQIECBAgAABAgQIECCwvoAnCBAgQIAAAQIECBAgQIAAgfgCBSdUoBe8OZZGgAABAgQIECBAgAABAnUJWC0BAgQIECBAgAABAgQIECBQt8AqBXrdCa2eAAECBAgQIECAAAECBAgQWEXAPQQIECBAgAABAgQIECBAYPICEyjQJ7/HAAgQIECAAAECBAgQIECAwAQERCRAgAABAgQIECBAgAABAu0FFOjtDfsdwegECBAgQIAAAQIECBAgQIBAfAEJCRAgQIAAAQIECBAgQKAIAQV6EdsQdxGSESBAgAABAgQIECBAgAABAvEFJCRAgAABAgQIECBAgEAUAQV6lJ2Uow8BYxIgQIAAAQIECBAgQIAAAQLxBSQkQIAAAQIECBAgQIDAewIK9PcofCAQTUAeAgQIECBAgAABAgQIECBAIL6AhAQIECBAgAABAgQIdCmgQO9S01gECHQnYCQCBAgQIECAAAECBAgQIEAgvoCEBAgQIECAAAECBAoTUKAXtiGWQ4BADAEpCBAgQIAAAQIECBAgQIAAgfgCEhIgQIAAAQIECMQTUKDH21OJCBAg0FbA8wQIECBAoDqBnHPKef1jUdCcF4+z6N5o53IuN3vOi9eW89Pno+2LPAQIECBAoCcBwxIgQIAAAQIECCwQUKAvQHGKAAECBGoWsHYCBAgQIECAAAECBAgQIEAgvoCEBAgQIECAAIF+BBToLVwfPnyYXnvttXT+/Pmlx+7ubrp3716LWTxKgAABApMSEJYAAQIECBAgQIAAAQIECBCILyAhAQIECBAgsFBgb28vPfPMM0u713PnzqUbN24sfLarkwr0FpInTpxIZ8+eTTs7O0uP5p5Tp061mMWjBAgQIECgHgErJUCAAAECBAgQIECAAAECBOILSEiAAAECBPoSOH36dLp9+/bS7vXWrVvp4sWLfU1/MK4C/YBh81+2t7ePfLjZ5CNvcJEAAQIECBAoRcA6CBAIKLC/v58OH/Mxc84p50fH7Pzh+2ffZ9f9HE4g50d7k3N+b9LZfhz++d4N73zIOR/s6zsf/Y8AAQIECBAgQIDAYQHfCRAgQKByga2trV4TKNB75TU4AQIECBAgQGAoAfMQIECAAAECBAgQIECAAAEC8QUkJECAAIG+BRTofQsbnwABAgQIECBA4HgBdxAgQIAAAQIECBAgQIAAAQLxBSQkQIBABQIK9Ao2yRIJECBAgAABAgTKFrC6WAI5P/rrv3N+8ueilDk/eU/OT39f9Nz8uZyffibnxefmn9vkc86Lx8350flNxmyeyfnR8zkv/tnc0/dx+K90b74vmzPnxevM+enzi8bI+en7cj7+3PxYOR99//y9iz7nvNnzOR/9XM6Lry9aw/y5nBc/l/Oj8/P3+kyAAAECBAgQIECgVgHrJkBgGgIK9Gnss5QECBAgQIAAAQIElgk4T4AAAQIECBAgQIAAAQIECMQXkJAAgRUFFOgrQrmNAAECBAgQIECAAIESBayJAAECBAgQIECAAAECBAgQiC8gIYHhBBTow1mbiQABAgQIECBAgAABAk8K+EaAAAECBAgQIECAAAECBAjEF5CwKgEFelXbZbEECBAgQIAAAQIECJQgkPOj/7vOzf+d7UXH/BpzfnTvonM55/nTaZOxnhhgwZecc8r50TF/+bi55u9d9DnnnGbHorGac7PnZvc1P2fnVvnZjDE7Zvc3Yyw6ZteX/Zx/Zv6e2fjzP+evL3tu/p7Z5/kxZp9n15qf82PNrs//bO6ZHfP3Ljo3/9z850X3zs4t+zn//Pzn+ftn61l0rrk2/9zs87J758/7TIAAAQIECBAgQIAAAQLlC0xthQr0qe24vAQIECBAgAABAgQIECDQCDgIECBAgAABAgQIECBAgACB+AJrJ1Sgr03mAQIECBAgQIAAAQIECBAgMLaA+QkQIECAAAECBAgQIECAAIE+BMoq0PtIaEwCBAgQIECAAAECBAh0LDD7K6qbv7p60bHpdIvGms01/3PT8bt8bn49i9bdnOtjvmVjNvMdPpbdO3/+8DPN9/nrJX0e2vy47Met58jnXSRAgAABAgQIECBAgAABAoUKKNA73BhDESBAgAABAgQIECBAgAABAvEFJCRAgAABAgQIECBAgACBuAIK9Lh7u24y9xMgQIAAAQIECBAgQIAAAQLxBSQkQIAAAQIECBAgQIAAgSMEFOhH4LhUk4C1EiBAgAABAgQIECBAgAABAvEFJCRAgAABAgQIECBAgEC/Agr0fn2NTmA1AXcRIECAAAECBAhUJZBzTjnnJ9a8v7+fZscTFxZ8md13+OeCWw/myTk/8XPRfUOfy/nxmubnns80f76rz/Pjz3/edPz5MY77vOkcXT2X8zjmy9af89HrWfac8wQmLSA8AQIECBAgQIAAAQLFCyjQi98iCyRQvoAVEiBAgAABAgQIECBAgAABAvEFJCRAgAABAgQIECAwBQEF+hR2WUYCBI4ScI0AAQIECBAgQIAAAQIECBCILyAhAQIECBAgQIAAgZUEFOgrMbmJAAECpQpYFwECBAgQIECAAAECBAgQIBBfQEICBAgQIECAAIGhBBToQ0mbhwABAgSeFnCGAAECBAhMVCDnnHJ++tjf30+Hj4kSHcTO+Wmjgws9/5Lz0/PmnHue1fAECBAgQCCwgGgECBAgQIAAgYoEFOgVbZalEiBAgEBZAlZDgAABAgQIECBAgAABAgQIxBeQkAABAgQIEJiWgAJ9WvstLQECBAgQmAn4SYAAAQIECBAgQIAAAQIECMQXkJAAAQIECBBYU0CBviaY2wkQIECAAIESBKyBAAECqwnknJ/6q9Lnn5z/69Lnzx/3efbc/H05P55r/vyiz7Pnm5/z13N+PEbOjz7PX2/ub475c8d9bu6fHfP35vxo/Jwf/5y/ftzn2ZjNz/l7c95svPkxZp+bsWfH7FzOj8fP+fHn2fXm5+Fn5s8115rvsyPnx2Pk/Ojz7Frzs7l/djTfxzxm62h+zq8j50frzjnPn+79c7OO2TE/Wc754P/dzZ/zmQABAgQIECCwmYCnCBAgQIDA8AIK9OHNzUiAAAECBAhMXUB+AgQIECBAgAABAgQIECBAIL6AhAQIECBQpYACvcpts2gCBAgQIECAwHgCZiZAgAABAgQIECBAgAABAgTiC0hIgACBqQoo0Ke683ITIECAAAECBKYpIDUBAgQIECBAgAABAgQIECAQX0BCAgQIbCygQN+YzoMECBAgQIAAAQIEhhYw3zKB/f39tMmxaLxl46xz76IxFj3fnFt077Jzzf1tjmXjHnf+uDmPe37++nFjLbs+P8Zxn5eNMTt/3PPz12fPzP+cvz7/ef6e2ef56/OfZ9fnf85fn/88f8/s8/z14z5jeGlPAAAQAElEQVTPnml+Lrq3Ob/oaHvvouebc4vmco4AAQIECBAgQIAAgXkBnwkQGFNAgT6mvrkJECBAgAABAgQITElAVgIECBAgQIAAAQIECBAgQCC+gIQEKhdQoFe+gZZPgAABAgQIECBAgMAwAmYhQIAAAQIECBAgQIAAAQIE4gtISECB7h0gQIAAAQIECBAgQIBAfAEJCRAgQIAAAQIECBAgQIAAgfgCEnYgoEDvANEQBAgQIECAAAECBAgQINCngLEJECBAgAABAgQIECBAgACB+AJlJFSgl7EPVkGAAAECBAgQIECAAAECUQXkIkCAAAECBAgQIECAAAECBKoR2LhAryahhRIgQIAAAQIECBAgQIAAAQIbC3iQAAECBAgQIECAAAECBAhMSWCqBXpne/zgwYMjx9rb2zvyuosECBAgQIAAAQIECBAgQIBAbwIGJkCAAAECBAgQIECAAIFgAnfu3Ok1kQK9Je+tW7fS6dOn05kzZxYeDx8+TM3RcppDj/tKgAABAgQIECBAgAABAgQIxBeQkAABAgQIECBAgAABAtMSaP7w8smTJxf2rk0f2/Syd+/eTfv7+6mvfxToLWUvXLiQmj9l3mzUomN7ezudOIH5CWZfCBAgQIAAAQIECBAgQIAAgfgCEhIgQIAAAQIECBAgQGBNga2trXT//v20qHdtzjW97MWLF1POec2RV79ds7u6lTsJHAj4hQABAgQIECBAgAABAgQIEIgvICEBAgQIECBAgAABAtMUUKBPc9+lnq6A5AQIECBAgAABAgQIECBAgEB8AQkJECBAgAABAgQIENhQQIG+IZzHCBAYQ8CcBAgQIECAAAECBAgQIECAQHwBCQkQIECAAAECBAiMJ6BAH8/ezAQITE1AXgIECBAgQIAAAQIECBAgQCC+gIQECBAgQIAAAQJVCyjQq94+iydAgMBwAmYiQIAAAQIECBAgQIAAAQIE4gtISIAAAQIECBCYuoACfepvgPwECBCYhoCUBAgQIECAAAECBAgQIECAQHwBCQkQIECAAAECrQUU6K0JDUCAAAECBPoWMD4BAgQIECBAgAABAgQIECAQX0BCAgQIECBAoAQBBXoJu2ANBAgQIEAgsoBsBAgQIECAAAECBAgQIECAQHwBCQkQIECAQBABBXqQjRSDAAECBAgQ6EfAqAQIECBAgAABAgQIECBAgEB8AQkJECBAgMBMQIE+k/CTAAECBAgQIBBPQCICBAgQIECAAAECBAgQIEAgvoCEBAgQINChgAK9Q0xDESBAgAABAgQIdClgLAIECBAgQIAAAQIECBAgQCC+gIQECBAoS0CBXtZ+WA0BAgQIECBAgEAUATkIECBAgAABAgQIECBAgACB+AISEiAQTkCBHm5LBSJAgAABAgQIECDQXsAIBAgQIECAAAECBAgQIECAQHwBCQkQeFpAgf60iTMECBAgQIAAAQIECNQtYPUECBAgQIAAAQIECBAgQIBAfAEJCfQioEDvhdWgBAgQIECAAAECBAgQ2FTAcwQIECBAgAABAgQIECBAgEB8AQlLFVCgl7oz1kWAAAECBAgQIECAAIEaBayZAAECBAgQIECAAAECBAgQiC8QOKECPfDmikaAAAECBAgQIECAAAEC6wm4mwABAgQIECBAgAABAgQIEIgvcFRCBfpROq4RIECAAAECBAgQIECAAIF6BKyUAAECBAgQIECAAAECBAgQaClQQYHeMqHHCRAgQIAAAQIECBAgQIAAgQoELJEAAQIECBAgQIAAAQIECIwvoEDvew+MT4AAAQIECBAgQIAAAQIECMQXkJAAAQIECBAgQIAAAQIEQggo0ENsY38hjEyAAAECBAgQIECAAAECBAjEF5CQAAECBAgQIECAAAECBB4JKNAfOfg1poBUBAgQIECAAAECBAgQIECAQHwBCQkQIECAAAECBAgQINCZgAK9M0oDEehawHgECBAgQIAAAQIECBAgQIBAfAEJCRAgQIAAAQIECBAoSUCBXtJuWAuBSAKyECBAgAABAgQIECBAgAABAvEFJCRAgAABAgQIECAQTECBHmxDxSFAoBsBoxAgQIAAAQIECBAgQIAAAQLxBSQkQIAAAQIECBAgcFhAgX5YxHcCBAjULyABAQIECBAgQIAAAQIECBAgEF9AQgIECBAgQIAAgR4EFOg9oBqSAAECBNoIeJYAAQIECBAgQIAAAQIECBCILyAhAQIECBAgQKBMAQV6mftiVQQIECBQq4B1EyBAgAABAgQIECBAgAABAvEFJCRAgAABAgTCCijQw26tYAQIECBAYH0BTxAgQIAAAQIECBAgQIAAAQLxBSQkQIAAAQIElgso0JfbuEKAAAECBAjUJWC1BAgQIECAAAECBAgQIECAQHwBCQkQIECAQK8CCvReeQ1OgAABAgQIEFhVwH0ECBAgQIAAAQIECBAgQIBAfAEJCRAgQKB0AQV66TtkfQQIECBAgACBGgSskQABAgQIECBAgAABAgQIEIgvICEBAgQmIKBAb7nJV69eTZcuXVp67O3ttZzB4wQIECBAgAABAn0LGJ8AAQIECBAgQIAAAQIECBCILyAhAQLlC9y8eTM999xzS7vXppe9du1ar0EU6C15r1y5kl599dWlx+nTp1vO4HECBAgQIECAAAECRwq4SIAAAQIECBAgQIAAAQIECMQXkJDAJAQuXLiQbty4sbR7bXrZy5cv92qhQO+V1+AECBAgQIAAAQIECBwt4CoBAgQIECBAgAABAgQIECAQX0BCAvUIKNDr2SsrJUCAAAECBAgQIECgNAHrIUCAAAECBAgQIECAAAECBOILSDgpAQX6pLZbWAIECBAgQIAAAQIECDwW8IkAAQIECBAgQIAAAQIECBCILyDhegIK9PW83E2AAAECBAgQIECAAAECZQhYBQECBAgQIECAAAECBAgQIBBfYPCECvTByU1IgAABAgQIECBAgAABAgQIECBAgAABAgQIECBAgAABAiUKdFugl5jQmggQIECAAAECBAgQIECAAIFuBYxGgAABAgQIECBAgAABAgSCCijQ5zbWRwIECBAgQIAAAQIECBAgQCC+gIQECBAgQIAAAQIECBAgQGCZgAJ9mUx9562YAAECBAgQIECAAAECBAgQiC8gIQECBAgQIECAAAECBAj0KKBA7xHX0OsIuJcAAQIECBAgQIAAAQIECBCILyAhAQIECBAgQIAAAQIEyhZQoJe9P1ZXi4B1EiBAgAABAgQIECBAgAABAvEFJCRAgAABAgQIECBAILyAAj38FgtI4HgBdxAgQIAAAQIECBAgQIAAAQLxBSQkQIAAAQIECBAgQOB4AQX68UbuIECgbAGrI0CAAAECBAgQIECAAAECBOILSEiAAAECBAgQIEBgEAEF+iDMJiFAgMAyAecJECBAgAABAgQIECBAgACB+AISEiBAgAABAgQI1CKgQK9lp6yTAAECJQpYEwECBAgQIECAAAECBAgQIBBfQEICBAgQIECAwIQEFOgT2mxRCRAgQOBJAd8IECBAgAABAgQIECBAgACB+AISEiBAgAABAgTWEVCgr6PlXgIECBAgUI6AlRAgQIAAAQIECBAgQIAAAQLxBSQkQIAAAQIEBhZQoA8MbjoCBAgQIECgEXAQIECAAAECBAgQIECAAAEC8QUkJECAAAEC9Qko0OvbMysmQIAAAQIExhYwPwECBAgQIECAAAECBAgQIBBfQEICBAgQmKSAAn2S2y40AQIECBAgMGUB2QkQIECAAAECBAgQIECAAIH4AhISIECAwGYCCvTN3DxFgAABAgQIECAwjoBZCRAgQIAAAQIECBAgQIAAgfgCEhIgQGA0AQX6aPQmJkCAAAECBAgQmJ6AxAQIECBAgAABAgQIECBAgEB8AQkJEKhZQIFe8+5ZOwECBAgQIECAAIEhBcxFgAABAgQIECBAgAABAgQIxBeQkMDEBRToE38BxCdAgAABAgQIECAwFQE5CRAgQIAAAQIECBAgQIAAgfgCEhJoK6BAbyvoeQIECBAgQIAAAQIECPQvYAYCBAgQIECAAAECBAgQIEAgvoCEBQgo0AvYBEsgQIAAAQIECBAgQIBAbAHpCBAgQIAAAQIECBAgQIAAgfgCMRIq0GPsoxQECBAgQIAAAQIECBAg0JeAcQkQIECAAAECBAgQIECAAIH4Au8mVKC/C+EHAQIECBAgQIAAAQIECBCIKCATAQIECBAgQIAAAQIECBAgsLpArQX66gndSYAAAQIECBAgQIAAAQIECNQqYN0ECBAgQIAAAQIECBAgQGBQAQX6oNyzyfwkQIAAAQIECBAgQIAAAQIE4gtISIAAAQIECBAgQIAAAQK1CSjQa9uxEtZrDQQIECBAgAABAgQIECBAgEB8AQkJECBAgAABAgQIECAwQQEF+gQ3feqR5SdAgAABAgQIECBAgAABAgTiC0hIgAABAgQIECBAgACBTQQU6JuoeYbAeAJmJkCAAAECBAgQIECAAAECBOILSEiAAAECBAgQIECAwEgCCvSW8C+//HJ6/vnnlx53795tOYPHCUQSkIUAAQIECBAgQIAAAQIECBCILyAhAQIECBAgQIAAgc0E7t+/ny5cuLC0e3322WfTK6+8stngKz6lQF8RatltL7zwQrp+/frS48yZM8sedZ4AgdoErJcAAQIECBAgQIAAAQIECBCILyAhAQIECBAgQIDAaAInT55MN2/eXNq9vv766wflep8LVKD3qWtsAgQIFCRgKQQIECBAgAABAgQIECBAgEB8AQkJECBAgAABAtEFtra2eo2oQO+V1+AECBAg0JGAYQgQIECAAAECBAgQIECAAIH4AhISIECAAAECBEYXUKCPvgUWQIAAAQLxBSQkQIAAAQIECBAgQIAAAQIE4gtISIAAAQIECEQQUKBH2EUZCBAgQIBAnwLGJkCAAAECBAgQIECAAAECBOILSEiAAAECBAgcCCjQDxj8QoAAAQIECEQVkIsAAQIECBAgQIAAAQIECBCILyAhAQIECBDoSkCB3pWkcQgQIECAAAEC3QsYkQABAgQIECBAgAABAgQIEIgvICEBAgQIFCSgQC9oMyyFAAECBAgQIBBLQBoCBAgQIECAAAECBAgQIEAgvoCEBAgQiCWgQI+1n9IQIECAAAECBAh0JWAcAgQIECBAgAABAgQIECBAIL6AhAQIEDgkoEA/BOIrAQIECBAgQIAAgQgCMhAgQIAAAQIECBAgQIAAAQLxBSQkQKB7AQV696ZGJECAAAECBAgQIECgnYCnCRAgQIAAAQIECBAgQIAAgfgCEhIoUkCBXuS2WBQBAgQIECBAgAABAvUKWDkBAgQIECBAgAABAgQIECAQX0DCqAIK9Kg7KxcBAgQIECBAgAABAgQ2EfAMAQIECBAgQIAAAQIECBAgEF9AwqUCCvSlNC4QINCHQM455ezImUHODHJmkDODnBnkXrqb4wAAEABJREFUzCBnBjkzyJlBzu0NcjZGzgxyZpAzg5wZ5MwgZwY5M8iZQc4McmaQ87AGffz7ZWMSIEBgJtDnTwV6n7rGJkCAAAECBAgQIECAAAECqwu4kwABAgQIECBAgAABAgQIEBhZYIACfeSEpidAgAABAgQIECBAgAABAgQGEDAFAQIECBAgQIAAAQIECBCoX0CBftweuk6AAAECBAgQIECAAAECBAjEF5CQAAECBAgQIECAAAECBAi8I6BAfwch8v9kI1CKwP7+fnIw8A54B7wD3gHvgHfAO+Ad8A54B7wD/bwDXLl6B7wD3gHvgHfAO1DyO1DKv6e2DgIECKwioEBfRck9YwmYlwABAgQIECBAgAABAgQIEIgvICEBAgQIECBAgAABAgSKEVCgF7MVFhJPQCICBAgQIECAAAECBAgQIEAgvoCEBAgQIECAAAECBAhEElCgR9pNWQh0KWAsAgQIECBAgAABAgQIECBAIL6AhAQIECBAgAABAgQIPCGgQH+CwxcCBKIIyEGAAAECBAgQIECAAAECBAjEF5CQAAECBAgQIECAQNcCCvSuRY1HgACB9gJGIECAAAECBAgQIECAAAECBOILSEiAAAECBAgQIFCggAK9wE2xJAIECNQtYPUECBAgQIAAAQIECBAgQIBAfAEJCRAgQIAAAQIxBRToMfdVKgIECBDYVMBzBAgQIECAAAECBAgQIECAQHwBCQkQIECAAAECSwQU6EtgnCZAgAABAjUKWDMBAgQIECBAgAABAgQIECAQX0BCAgQIECBAoD8BBXp/tkYmQIAAAQIE1hNwNwECBAgQIECAAAECBAgQIBBfQEICBAgQIFC0gAK96O2xOAIECBAgQKAeASslQIAAAQIECBAgQIAAAQIE4gtISIAAAQLRBRTo0XdYPgIECBAgQIDAKgLuIUCAAAECBAgQIECAAAECBOILSEiAAAECxwoo0I8lcgMBAgQIECBAgEDpAtZHgAABAgQIECBAgAABAgQIxBeQkAABAkMIKNCHUDYHAQIECBAgQIAAgeUCrhAgQIAAAQIECBAgQIAAAQLxBSQkQKASAQV6JRtlmQQIECBAgAABAgTKFLAqAgQIECBAgAABAgQIECBAIL6AhASmI6BAn85eS0qAAAECBAgQIECAwGEB3wkQIECAAAECBAgQIECAAIH4AhISWENAgb4G1uFb9/f3087OTjp58mQ6derUU0dz/vbt26m57/CzvhMgQIAAAQIECBAgQKCtgOcJECBAgAABAgQIECBAgACB+AJTSvjw4cO0tbX1VO8662Kb/vWtt97qlUSB3oI355xOnDiR7t+/n+7du/fU0ZxvNjjnnPxDgAABAgQIECBAgAABAk8I+EKAAAECBAgQIECAAAECBAjEF1grYdO9Pnjw4KneddbFNv3rmTNn1hpz3ZsV6OuKHbr/3Llzh848+XV7e/vJE74RIECAAAECBAgQIECAQAABEQgQIECAAAECBAgQIECAAIExBJo/wNznvE8W6H3OZGwCBAgQIECAAAECBAgQIECgDAGrIECAAAECBAgQIECAAAECBBYKhCrQFyZ0kgABAgQIECBAgAABAgQIEAglIAwBAgQIECBAgAABAgQIEOhLQIHel+z643qCAAECBAgQIECAAAECBAgQiC8gIQECBAgQIECAAAECBAgULKBAL3hz6lqa1RIgQIAAAQIECBAgQIAAAQLxBSQkQIAAAQIECBAgQIBAbAEFeuz9lW5VAfcRIECAAAECBAgQIECAAAEC8QUkJECAAAECBAgQIECAwDECCvRjgFwmUIOANRIgQIAAAQIECBAgQIAAAQLxBSQkQIAAAQIECBAgQKB/AQV6/8ZmIEDgaAFXCRAgQIAAAQIECBAgQIAAgfgCEhIgQIAAAQIECBCoQkCBXsU2WSQBAuUKWBkBAgQIECBAgAABAgQIECAQX0BCAgQIECBAgACBqQgo0Key03ISIEBgkYBzBAgQIECAAAECBAgQIECAQHwBCQkQIECAAAECBFYWUKCvTOVGAgQIEChNwHoIECBAgAABAgQIECBAgACB+AISEiBAgAABAgSGFFCgD6ltLgIECBAg8FjAJwIECBAgQIAAAQIECBAgQCC+gIQECBAgQIBAZQIK9Mo2zHIJECBAgEAZAlZBgAABAgQIECBAgAABAgQIxBeQkAABAgQITE9AgT69PZeYAAECBAgQIECAAAECBAgQIECAAAECBAjEF5CQAAECBAhsIKBA3wDNIwQIECBAgACBMQXMTYAAAQIECBAgQIAAAQIECMQXkJAAAQIExhFQoI/jblYCBAgQIECAwFQF5CZAgAABAgQIECBAgAABAgTiC0hIgACBagUU6NVunYUTIECAAAECBAgML2BGAgQIECBAgAABAgQIECBAIL6AhAQITFlAgT7l3ZedAAECBAgQIEBgWgLSEiBAgAABAgQIECBAgAABAvEFJCRAoJWAAr0Vn4cJECBAgAABAgQIEBhKwDwECBAgQIAAAQIECBAgQIBAfAEJCYwtoEAfewfMT4AAAQIECBAgQIDAFARkJECAAAECBAgQIECAAAECBOILSBhAQIEeYBNFIECAAAECBAgQIECAQL8CRidAgAABAgQIECBAgAABAgTiC0jYCCjQGwUHAQIECBAgQIAAAQIECMQVkIwAAQIECBAgQIAAAQIECBCIL9BRQgV6R5CGIUCAAAECBAgQIECAAAECfQgYkwABAgQIECBAgAABAgQIEBhOYKwCfbiEZiJAgAABAgQIECBAgAABAgTGEjAvAQIECBAgQIAAAQIECBCoSkCBvtF2eYgAAQIECBAgQIAAAQIECBCILyAhAQIECBAgQIAAAQIECExNQIE+tR1v8joIECBAgAABAgQIECBAgACB+AISEiBAgAABAgQIECBAgMDaAgr0tck8MLaA+QkQIECAAAECBAgQIECAAIH4AhISIECAAAECBAgQIEBgDAEF+hjq5pyygOwECBAgQIAAAQIECBAgQIBAfAEJCRAgQIAAAQIECBCoVECBXunGWTaBcQTMSoAAAQIECBAgQIAAAQIECMQXkJAAAQIECBAgQIDAdAUU6NPde8kJTE9AYgIECBAgQIAAAQIECBAgQCC+gIQECBAgQIAAAQIEWggo0FvgeZQAAQJDCpiLAAECBAgQIECAAAECBAgQiC8gIQECBAgQIECAwLgCCvRx/c1OgACBqQjISYAAAQIECBAgQIAAAQIECMQXkJAAAQIECBAgUL2AAr3lFj548ODIEY67fuTDLhIgQIBAIQKWQYAAAQIECBAgQIAAAQIECMQXkJAAAQIECBAgkJICveVbcOPGjXT+/Pl08eLFhcfbb7+dlOgtkT1OgAABAu0EPE2AAAECBAgQIECAAAECBAjEF5CQAAECBAgEENjZ2Unb29sLe9dZH3v9+vXU5z8K9Ja6ly5dSs1GvvHGG2nR0Wzw1tZWy1k8ToAAAQIEpisgOQECBAgQIECAAAECBAgQIBBfQEICBAgQINAINH9weXd3d2HvOutin3/++ebW3g4Fem+0BiZAgAABAgQIJAQECBAgQIAAAQIECBAgQIBAfAEJCRAgQCCQgAI90GaKQoAAAQIECBDoVsBoBAgQIECAAAECBAgQIECAQHwBCQkQIEBgXkCBPq/hMwECBAgQIECAQBwBSQgQIECAAAECBAgQIECAAIH4AhISIECgYwEFeseghiNAgAABAgQIECDQhYAxCBAgQIAAAQIECBAgQIAAgfgCEhIgUJ6AAr28PbEiAgQIECBAgAABArULWD8BAgQIECBAgAABAgQIECAQX0BCAiEFFOght1UoAgQIECBAgAABAgQ2F/AkAQIECBAgQIAAAQIECBAgEF9AQgKLBRToi12cJUCAAAECBAgQIECAQJ0CVk2AAAECBAgQIECAAAECBAjEF5CwNwEFem+0BiZAgAABAgQIECBAgACBdQXcT4AAAQIECBAgQIAAAQIECMQXKDmhAr3k3bE2AgQIECBAgAABAgQIEKhJwFoJECBAgAABAgQIECBAgACBygVWKNArT2j5BAgQIECAAAECBAgQIECAwAoCbiFAgAABAgQIECBAgAABAgTiF+j2mAABAgQIECBAgAABAgQIEIgvICEBAgQIECBAgAABAgQIEOhAQIHeAWKfQxibAAECBAgQIECAAAECBAgQiC8gIQECBAgQIECAAAECBAiUIaBAL2Mfoq5CLgIECBAgQIAAAQIECBAgQCC+gIQECBAgQIAAAQIECBAII6BAD7OVgnQvYEQCBAgQIECAAAECBAgQIEAgvoCEBAgQIECAAAECBAgQeCygQH9s4ROBWALSECBAgAABAgQIECBAgAABAvEFJCRAgAABAgQIECBAoFMBBXqnnAYjQKArAeMQIECAAAECBAgQIECAAAEC8QUkJECAAAECBAgQIFCagAK9tB2xHgIEIgjIQIAAAQIECBAgQIAAAQIECMQXkJAAAQIECBAgQCCggAI94KaKRIAAgXYCniZAgAABAgQIECBAgAABAgTiC0hIgAABAgQIECCwSECBvkjFOQIECBCoV8DKCRAgQIAAAQIECBAgQIAAgfgCEhIgQIAAAQIEehJQoPcEa1gCBAgQILCJgGcIECBAgAABAgQIECBAgACB+AISEiBAgAABAuUKKNDL3RsrI0CAAAECtQlYLwECBAgQIECAAAECBAgQIBBfQEICBAgQIBBaQIEeenuFI0CAAAECBFYXcCcBAgQIECBAgAABAgQIECAQX0BCAgQIECBwtIAC/WgfVwkQIECAAAECdQhYJQECBAgQIECAAAECBAgQIBBfQEICBAgQ6F1Agd47sQkIECBAgAABAgSOE3CdAAECBAgQIECAAAECBAgQiC8gIQECBGoQUKDXsEvWSIAAAQIECBAgULKAtREgQIAAAQIECBAgQIAAAQLxBSQkQGAiAgr0iWy0mAQIECBAgAABAgQWCzhLgAABAgQIECBAgAABAgQIxBeQkACBVQUU6KtKuY8AAQIECBAgQIAAgfIErIgAAQIECBAgQIAAAQIECBCILyAhgQEFFOgDYpuKAAECBAgQIECAAAEC8wI+EyBAgAABAgQIECBAgAABAvEFJKxLQIFe135ZLQECBAgQIECAAAECBEoRsA4CBAgQIECAAAECBAgQIEAgvsDkEirQJ7flAhMgQIAAAQIECBAgQIBASgwIECBAgAABAgQIECBAgACB+ALrJ1Sgr2/mCQIECBAgQIAAAQIECBAgMK6A2QkQIECAAAECBAgQIECAAIFeBIoq0HtJaFACBAgQIECAAAECBAgQIECgKAGLIUCAAAECBAgQIECAAAECpQoo0FvuzEsvvZQuX77cHAuP3d3dljN4nAABAgQIECBAgAABAgQIEChIwFIIECBAgAABAgQIECBAoCeBN998M50/f35h7zrrZK9eva9nSQAAABAASURBVNrT7I+GVaA/ctj41xdffDFdu3Zt6bG9vb3x2MM+aDYCBAgQIECAAAECBAgQIEAgvoCEBAgQIECAAAECBAgQKFfg7NmzaWdnZ2n32vSyV65c6TWAAr1XXoMPJmAiAgQIECBAgAABAgQIECBAIL6AhAQIECBAgAABAgQIEOhZQIHeM7DhCawi4B4CBAgQIECAAAECBAgQIEAgvoCEBAgQIECAAAECBAiUL6BAL3+PrJBA6QLWR4AAAQIECBAgQIAAAQIECMQXkJAAAQIECBAgQIDAJAQU6JPYZiEJEFgu4AoBAgQIECBAgAABAgQIECAQX0BCAgQIECBAgAABAqsJKNBXc3IXAQIEyhSwKgIECBAgQIAAAQIECBAgQCC+gIQECBAgQIAAAQKDCSjQB6M2EQECBAgcFvCdAAECBAgQIECAAAECBAgQiC8gIQECBAgQIECgJgEFek27Za0ECBAgUJKAtRAgQIAAAQIECBAgQIAAAQLxBSQkQIAAAQIEJiagQJ/YhotLgAABAgQeCfiVAAECBAgQIECAAAECBAgQiC8gIQECBAgQILCugAJ9XTH3EyBAgAABAuMLWAEBAgQIECBAgAABAgQIECAQX0BCAgQIECAwgoACfQR0UxIgQIAAAQLTFpCeAAECBAgQIECAAAECBAgQiC8gIQECBAjUKaBAr3PfrJoAAQIECBAgMJaAeQkQIECAAAECBAgQIECAAIH4AhISIEBgsgIK9MluveAECBAgQIAAgSkKyEyAAAECBAgQIECAAAECBAjEF5CQAAECmwso0De38yQBAgQIECBAgACBYQXMRoAAAQIECBAgQIAAAQIECMQXkJAAgVEFFOij8pucAAECBAgQIECAwHQEJCVAgAABAgQIECBAgAABAgTiC0hIoHYBBXrtO2j9BAgQIECAAAECBAgMIWAOAgQIECBAgAABAgQIECBAIL6AhASSAt1LQIAAAQIECBAgQIAAgfACAhIgQIAAAQIECBAgQIAAAQLxBSTsQkCB3oWiMQgQIECAAAECBAgQIECgPwEjEyBAgAABAgQIECBAgAABAvEFCkmoQC9kIyyDAAECBAgQIECAAAECBGIKSEWAAAECBAgQIECAAAECBAjUI7BpgV5PQislQIAAAQIECBAgQIAAAQIENhXwHAECBAgQIECAAAECBAgQmJTARAv0Se2xsAQIECBAgAABAgQIECBAYKICYhMgQIAAAQIECBAgQIAAgfUEFOjreZVxt1UQIECAAAECBAgQIECAAAEC8QUkJECAAAECBAgQIECAAIHBBRTog5ObkAABAgQIECBAgAABAgQIECAQX0BCAgQIECBAgAABAgQI1CigQK9x16x5TAFzEyBAgAABAgQIECBAgAABAvEFJCRAgAABAgQIECBAYKICCvSJbrzYUxWQmwABAgQIECBAgAABAgQIEIgvICEBAgQIECBAgAABApsKKNA3lfMcAQLDC5iRAAECBAgQIECAAAECBAgQiC8gIQECBAgQIECAAIERBRToI+KbmgCBaQlIS4AAAQIECBAgQIAAAQIECMQXkJAAAQIECBAgQKBuAQV63ftn9QQIEBhKwDwECBAgQIAAAQIECBAgQIBAfAEJCRAgQIAAAQKTF1CgT/4VAECAAIEpCMhIgAABAgQIECBAgAABAgQIxBeQkAABAgQIECDQXkCB3t7QCAQIECBAoF8BoxMgQIAAAQIECBAgQIAAAQLxBSQkQIAAAQIEihBQoBexDRZBgAABAgTiCkhGgAABAgQIECBAgAABAgQIxBeQkAABAgQIRBFQoEfZSTkIECBAgACBPgSMSYAAAQIECBAgQIAAAQIECMQXkJAAAQIECLwnoEB/j8IHAgQIECBAgEA0AXkIECBAgAABAgQIECBAgACB+AISEiBAgECXAgr0FpoPHz5Mr732Wjp//vzSY3d3N927d6/FLB4lQIAAAQIECExUQGwCBAgQIECAAAECBAgQIEAgvoCEBAgQmBPY29tLzzzzzNLu9dy5c+nGjRtzT3T/UYHewvTEiRPp7NmzaWdnZ+nR3HPq1KkWs3iUAAECBAgQIECgRgFrJkCAAAECBAgQIECAAAECBOILSEiAQLcCp0+fTrdv317avd66dStdvHix20kPjaZAPwSy7tft7e0jH2k2+cgbXCRAgAABAgQIECBQnoAVESBAgAABAgQIECBAgAABAvEFJCRQpcDW1lav61ag98prcAIECBAgQIAAAQIEhhcwIwECBAgQIECAAAECBAgQIBBfQEIC/Qgo0PtxNSoBAgQIECBAgAABAgQ2E/AUAQIECBAgQIAAAQIECBAgEF9AwmIFFOjFbo2FESBAgAABAgQIECBAoD4BKyZAgAABAgQIECBAgAABAgTiC0ROqECPvLuyESBAgAABAgQIECBAgMA6Au4lQIAAAQIECBAgQIAAAQIE4gscmVCBfiSPiwQIECBAgAABAgQIECBAoBYB6yRAgAABAgQIECBAgAABAgTaCpRfoLdN6HkCBAgQIECAAAECBAgQIECgfAErJECAAAECBAgQIECAAAECBQgo0HveBMMTIECAAAECBAgQIECAAAEC8QUkJECAAAECBAgQIECAAIEYAgr0GPvYVwrjEiBAgAABAgQIECBAgAABAvEFJCRAgAABAgQIECBAgACBdwUU6O9C+BFRQCYCBAgQIECAAAECBAgQIEAgvoCEBAgQIECAAAECBAgQ6E5Agd6dpZEIdCtgNAIECBAgQIAAAQIECBAgQCC+gIQECBAgQIAAAQIECBQloEAvajsshkAcAUkIECBAgAABAgQIECBAgACB+AISEiBAgAABAgQIEIgmoECPtqPyECDQhYAxCBAgQIAAAQIECBAgQIAAgfgCEhIgQIAAAQIECBB4SkCB/hSJEwQIEKhdwPoJECBAgAABAgQIECBAgACB+AISEiBAgAABAgQI9CGgQO9D1ZgECBAgsLmAJwkQIECAAAECBAgQIECAAIH4AhISIECAAAECBAoVUKAXujGWRYAAAQJ1Clg1AQIECBAgQIAAAQIECBAgEF9AQgIECBAgQCCugAI97t5KRoAAAQIE1hVwPwECBAgQIECAAAECBAgQIBBfQEICBAgQIEDgCAEF+hE4LhEgQIAAAQI1CVgrAQIECBAgQIAAAQIECBAgEF9AQgIECBAg0K+AAr1fX6MTIECAAAECBFYTcBcBAgQIECBAgAABAgQIECAQX0BCAgQIECheQIFe/BZZIAECBAgQIECgfAErJECAAAECBAgQIECAAAECBOILSEiAAIEpCCjQp7DLMhIgQIAAAQIECBwl4BoBAgQIECBAgAABAgQIECAQX0BCAgQIrCSgQF+JyU0ECBAgQIAAAQIEShWwLgIECBAgQIAAAQIECBAgQCC+gIQECAwloEAfSto8BAgQIECAAAECBAg8LeAMAQIECBAgQIAAAQIECBAgEF9AQgIVCSjQK9osSyVAgAABAgQIECBAoCwBqyFAgAABAgQIECBAgAABAgTiC0g4LQEF+rT2W1oCBAgQIECAAAECBAjMBPwkQIAAAQIECBAgQIAAAQIE4gtIuKaAAn1NMLcTIECAAAECBAgQIECAQAkC1kCAAAECBAgQIECAAAECBAjEFxg+oQJ9eHMzEiBAgAABAgQIECBAgMDUBeQnQIAAAQIECBAgQIAAAQIEihTotEAvMqFFESBAgAABAgQIECBAgAABAp0KGIwAAQIECBAgQIAAAQIECEQVUKA/3lmfCBAgQIAAAQIECBAgQIAAgfgCEhIgQIAAAQIECBAgQIAAgaUCCvSlNLVdsF4CBAgQIECAAAECBAgQIEAgvoCEBAgQIECAAAECBAgQINCngAK9T11jry7gTgIECBAgQIAAAQIECBAgQCC+gIQECBAgQIAAAQIECBAoXECBXvgGWV4dAlZJgAABAgQIECBAgAABAgQIxBeQkAABAgQIECBAgACB+AIK9JZ7/ODBgyNH2NvbO/K6iwQKELAEAgQIECBAgAABAgQIECBAIL6AhAQIECBAgAABAgRCCNy5c6fXHAr0lry3bt1Kp0+fTmfOnFl4PHz4MDVHy2k8ToDAUgEXCBAgQIAAAQIECBAgQIAAgfgCEhIgQIAAAQIECExBoPnDyydPnlzYuzZ9bNPL3r17N+3v76e+/lGgt5S9cOFCav6UebNRi47t7e104gTmlsweJxBXQDICBAgQIECAAAECBAgQIEAgvoCEBAgQIECAAAECKwlsbW2l+/fvp0W9a3Ou6WUvXryYcs4rjbfJTZrdTdQ8Q4AAAQIHAn4hQIAAAQIECBAgQIAAAQIE4gtISIAAAQIECBCYkoACfUq7LSsBAgQIzAv4TIAAAQIECBAgQIAAAQIECMQXkJAAAQIECBAgsJaAAn0tLjcTIECAAIFSBKyDAAECBAgQIECAAAECBAgQiC8gIQECBAgQIDC0gAJ9aHHzESBAgAABAikxIECAAAECBAgQIECAAAECBOILSEiAAAECBCoUUKBXuGmWTIAAAQIECIwrYHYCBAgQIECAAAECBAgQIEAgvoCEBAgQIDBNAQX6NPddagIECBAgQGC6ApITIECAAAECBAgQIECAAAEC8QUkJECAAIENBRToG8J5jAABAgQIECBAYAwBcxIgQIAAAQIECBAgQIAAAQLxBSQkQIDAeAIK9PHszUyAAAECBAgQIDA1AXkJECBAgAABAgQIECBAgACB+AISEiBQtYACverts3gCBAgQIECAAAECwwmYiQABAgQIECBAgAABAgQIEIgvICGBqQso0Kf+BshPgAABAgQIECBAYBoCUhIgQIAAAQIECBAgQIAAAQLxBSQk0FpAgd6a0AAECBAgQIAAAQIECBDoW8D4BAgQIECAAAECBAgQIECAQHwBCUsQUKCXsAvWQIAAAQIECBAgQIAAgcgCshEgQIAAAQIECBAgQIAAAQLxBYIkVKAH2UgxCBAgQIAAAQIECBAgQKAfAaMSIECAAAECBAgQIECAAAEC8QVmCRXoMwk/CRAgQIAAAQIECBAgQIBAPAGJCBAgQIAAAQIECBAgQIAAgTUEKi3Q10joVgIECBAgQIAAAQIECBAgQKBSAcsmQIAAAQIECBAgQIAAAQLDCijQh/V+NJtfCRAgQIAAAQIECBAgQIAAgfgCEhIgQIAAAQIECBAgQIBAdQIK9Oq2bPwFWwEBAgQIECBAgAABAgQIECAQX0BCAgQIECBAgAABAgQITFFAgT7FXZ92ZukJECBAgAABAgQIECBAgACB+AISEiBAgAABAgQIECBAYCMBBfpGbB4iMJaAeQkQIECAAAECBAgQIECAAIH4AhISIECAAAECBAgQIDCWgAJ9LHnzEpiigMwECBAgQIAAAQIECBAgQIBAfAEJCRAgQIAAAQIECFQsoECvePMsnQCBYQXMRoAAAQIECBAgQIAtlCo5AAAQAElEQVQAAQIECMQXkJAAAQIECBAgQGDaAgr0ae+/9AQITEdAUgIECBAgQIAAAQIECBAgQCC+gIQECBAgQIAAAQItBRToLQE9ToAAAQJDCJiDAAECBAgQIECAAAECBAgQiC8gIQECBAgQIEBgfAEF+vh7YAUECBAgEF1APgIECBAgQIAAAQIECBAgQCC+gIQECBAgQIBACAEFeohtFIIAAQIECPQnYGQCBAgQIECAAAECBAgQIEAgvoCEBAgQIECAwCMBBfojB78SIECAAAECMQWkIkCAAAECBAgQIECAAAECBOILSEiAAAECBDoTUKB3RmkgAgQIECBAgEDXAsYjQIAAAQIECBAgQIAAAQIE4gtISIAAAQIlCSjQS9oNayFAgAABAgQIRBKQhQABAgQIECBAgAABAgQIEIgvICEBAgSCCSjQg22oOAQIECBAgAABAt0IGIUAAQIECBAgQIAAAQIECBCILyAhAQIEDgso0A+L+E6AAAECBAgQIECgfgEJCBAgQIAAAQIECBAgQIAAgfgCEhIg0IOAAr0HVEMSIECAAAECBAgQINBGwLMECBAgQIAAAQIECBAgQIBAfAEJCZQpoEAvc1+sigABAgQIECBAgACBWgWsmwABAgQIECBAgAABAgQIEIgvIGFYAQV6y629evVqunTp0tJjb2+v5QweJ0CAAAECBAgQIECAwHACZiJAgAABAgQIECBAgAABAgTiC5Sa8ObNm+m5555b2r02vey1a9d6Xb4CvSXvlStX0quvvrr0OH36dMsZPE6AAAECBAgQIECAAAECKwq4jQABAgQIECBAgAABAgQIEKhY4MKFC+nGjRtLu9eml718+XKvCRXovfIanAABAgQIECBAgAABAgQIrCrgPgIECBAgQIAAAQIECBAgQGBsgf4L9LETmp8AAQIECBAgQIAAAQIECBDoX8AMBAgQIECAAAECBAgQIEAggIAC/ZhNdJkAAQIECBAgQIAAAQIECBCILyAhAQIECBAgQIAAAQIECBBoBBTojULcQzICBAgQIECAAAECBAgQIEAgvoCEBAgQIECAAAECBAgQINCRgAK9I0jD9CFgTAIECBAgQIAAAQIECBAgQCC+gIQECBAgQIAAAQIECBAoR0CBXs5eWEk0AXkIECBAgAABAgQIECBAgACB+AISEiBAgAABAgQIECAQSkCBHmo7hSHQnYCRCBAgQIAAAQIECBAgQIAAgfgCEhIgQIAAAQIECBAg8KSAAv1JD98IEIghIAUBAgQIECBAgAABAgQIECAQX0BCAgQIECBAgAABAp0LKNA7JzUgAQIE2gp4ngABAgQIECBAgAABAgQIEIgvICEBAgQIECBAgECJAgr0EnfFmggQIFCzgLUTIECAAAECBAgQIECAAAEC8QUkJECAAAECBAgEFVCgB91YsQgQIEBgMwFPESBAgAABAgQIECBAgAABAvEFJCRAgAABAgQILBNQoC+TcZ4AAQIECNQnYMUECBAgQIAAAQIECBAgQIBAfAEJCRAgQIAAgR4FFOg94hqaAAECBAgQWEfAvQQIECBAgAABAgQIECBAgEB8AQkJECBAgEDZAgr0svfH6ggQIECAAIFaBKyTAAECBAgQIECAAAECBAgQiC8gIQECBAiEF1Cgh99iAQkQIECAAAECxwu4gwABAgQIECBAgAABAgQIEIgvICEBAgQIHC+gQD/eyB0ECBAgQIAAAQJlC1gdAQIECBAgQIAAAQIECBAgEF9AQgIECAwioEAfhNkkBAgQIECAAAECBJYJOE+AAAECBAgQIECAAAECBAjEF5CQAIFaBBToteyUdRIgQIAAAQIECBAoUcCaCBAgQIAAAQIECBAgQIAAgfgCEhKYkIACfUKbLSoBAgQIECBAgAABAk8K+EaAAAECBAgQIECAAAECBAjEF5CQwDoCCvR1tNxLgAABAgQIECBAgACBcgSshAABAgQIECBAgAABAgQIEIgvIOHAAgr0gcFNR4AAAQIECBAgQIAAAQKNgIMAAQIECBAgQIAAAQIECBCIL1BfQgV6fXtmxQQIECBAgAABAgQIECAwtoD5CRAgQIAAAQIECBAgQIAAgZACTxToIRMKRYAAAQIECBAgQIAAAQIECDwh4AsBAgQIECBAgAABAgQIECCwWCBSgb44obMECBAgQIAAAQIECBAgQIBAJAFZCBAgQIAAAQIECBAgQIBAbwIK9N5o1x3Y/QQIECBAgAABAgQIECBAgEB8AQkJECBAgAABAgQIECBAoGQBBXrJu1PT2qyVAAECBAgQIECAAAECBAgQiC8gIQECBAgQIECAAAECBIILKNCDb7B4qwm4iwABAgQIECBAgAABAgQIEIgvICEBAgQIECBAgAABAgSOE1CgHyfkOoHyBayQAAECBAgQIECAAAECBAgQiC8gIQECBAgQIECAAAECAwgo0AdANgUBAkcJuEaAAAECBAgQIECAAAECBAjEF5CQAAECBAgQIECAQB0CCvQ69skqCRAoVcC6CBAgQIAAAQIECBAgQIAAgfgCEhIgQIAAAQIECExGQIE+ma0WlAABAk8LOEOAAAECBAgQIECAAAECBAjEF5CQAAECBAgQIEBgdQEF+upW7iRAgACBsgSshgABAgQIECBAgAABAgQIEIgvICEBAgQIECBAYFABBXpL7pdffjk9//zzS4+7d++2nMHjBAgQIBBTQCoCBAgQIECAAAECBAgQIEAgvoCEBAgQIECAwDoC9+/fTxcuXFjavT777LPplVdeWWfIte9VoK9N9uQDL7zwQrp+/frS48yZM08+4BsBAgQIEIggIAMBAgQIECBAgAABAgQIECAQX0BCAgQIECAwsMDJkyfTzZs3l3avr7/++kG53ueyFOh96hqbAAECBAgQKFLAoggQIECAAAECBAgQIECAAIH4AhISIECAQEyBra2tXoMp0HvlNTgBAgQIECBAoHMBAxIgQIAAAQIECBAgQIAAAQLxBSQkQIAAgZEEFOgjwZuWAAECBAgQIDBNAakJECBAgAABAgQIECBAgACB+AISEiBAoF4BBXq9e2flBAgQIECAAAECQwuYjwABAgQIECBAgAABAgQIEIgvICEBApMWUKBPevuFJ0CAAAECBAgQmJKArAQIECBAgAABAgQIECBAgEB8AQkJEGgnoEBv5+dpAgQIECBAgAABAgSGETALAQIECBAgQIAAAQIECBAgEF9AQgKjCyjQR98CCyBAgAABAgQIECBAIL6AhAQIECBAgAABAgQIECBAgEB8AQkjCCjQI+yiDAQIECBAgAABAgQIEOhTwNgECBAgQIAAAQIECBAgQIBAfAEJDwQU6AcMfiFAgAABAgQIECBAgACBqAJyESBAgAABAgQIECBAgAABAvEFukqoQO9K0jgECBAgQIAAAQIECBAgQKB7ASMSIECAAAECBAgQIECAAAECAwqMVKAPmNBUBAgQIECAAAECBAgQIECAwEgCpiVAgAABAgQIECBAgAABAnUJKNA32S/PECBAgAABAgQIECBAgAABAvEFJCRAgAABAgQIECBAgACByQko0Ce35SmJTIAAAQIECBAgQIAAAQIECMQXkJAAAQIECBAgQIAAAQIE1hdQoK9v5olxBcxOgAABAgQIECBAgAABAgQIxBeQkAABAgQIECBAgAABAqMIKNBHYTfpdAUkJ0CAAAECBAgQIECAAAECBOILSEiAAAECBAgQIECAQK0CCvRad866CYwhYE4CBAgQIECAAAECBAgQIEAgvoCEBAgQIECAAAECBCYsoECf8OaLTmBqAvISIECAAAECBAgQIECAAAEC8QUkJECAAAECBAgQINBGQIHeRs+zBAgQGE7ATAQIECBAgAABAgQIECBAgEB8AQkJECBAgAABAgRGFlCgj7wBpidAgMA0BKQkQIAAAQIECBAgQIAAAQIE4gtISIAAAQIECBCoX0CBXv8eSkCAAAECfQsYnwABAgQIECBAgAABAgQIEIgvICEBAgQIECBA4B0BBfo7CP5HgAABAgQiC8hGgAABAgQIECBAgAABAgQIxBeQkAABAgQIEOhGQIHejaNRCBAgQIAAgX4EjEqAAAECBAgQIECAAAECBAjEF5CQAAECBAgUI6BAL2YrLIQAAQIECBCIJyARAQIECBAgQIAAAQIECBAgEF9AQgIECBCIJKBAj7SbshAgQIAAAQIEuhQwFgECBAgQIECAAAECBAgQIBBfQEICBAgQeEJAgf4Ehy8ECBAgQIAAAQJRBOQgQIAAAQIECBAgQIAAAQIE4gtISIAAga4FFOhdixqPAAECBAgQIECAQHsBIxAgQIAAAQIECBAgQIAAAQLxBSQkQKBAAQV6gZtiSQQIECBAgAABAgTqFrB6AgQIECBAgAABAgQIECBAIL6AhARiCijQY+6rVAQIECBAgAABAgQIbCrgOQIECBAgQIAAAQIECBAgQCC+gIQElggo0JfAOE2AAAECBAgQIECAAIEaBayZAAECBAgQIECAAAECBAgQiC8gYX8CCvT+bI1MgAABAgQIECBAgAABAusJuJsAAQIECBAgQIAAAQIECBCIL1B0QgV60dtjcQQIECBAgAABAgQIECBQj4CVEiBAgAABAgQIECBAgAABArULHF+g157Q+gkQIECAAAECBAgQIECAAIHjBdxBgAABAgQIECBAgAABAgQIpPAFep97vL+/n3Z2dtLJkyfTqVOnnjqa87dv307NfX2uw9gECBAgQIAAAQIECBAgQGDqAvITIECAAAECBAgQIECAQP0CDx48SFtbW0/1rrMutulf33rrrV6DKtBb8Oac04kTJ9L9+/fTvXv3njqa880G55zThv94jAABAgQIECBAgAABAgQIEIgvICEBAgQIECBAgAABAgQIvCPQdKtNib6oe23ONf3rmTNn3rmzv/8p0Fvanjt37sgRtre3j7we+6J0BAgQIECAAAECBAgQIECAQHwBCQkQIECAAAECBAgQIDCcQFOy9zmbAr1PXWPXLWD1BAgQIECAAAECBAgQIECAQHwBCQkQIECAAAECBAgQIDAnoECfw/CRQCQBWQgQIECAAAECBAgQIECAAIH4AhISIECAAAECBAgQINCtgAK9W0+jESDQjYBRCBAgQIAAAQIECBAgQIAAgfgCEhIgQIAAAQIECBAoTkCBXtyWWBABAvULSECAAAECBAgQIECAAAECBAjEF5CQAAECBAgQIEAgooACPeKuykSAAIE2Ap4lQIAAAQIECBAgQIAAAQIE4gtISIAAAQIECBAgsFBAgb6QxUkCBAgQqFXAugkQIECAAAECBAgQIECAAIH4AhISIECAAAECBPoSUKD3JWtcAgQIECCwvoAnCBAgQIAAAQIECBAgQIAAgfgCEhIgQIAAAQIFCyjQC94cSyNAgAABAnUJWC0BAgQIECBAgAABAgQIECAQX0BCAgQIECAQcfPMpQAAEABJREFUW0CBHnt/pSNAgAABAgRWFXAfAQIECBAgQIAAAQIECBAgEF9AQgIECBAgcIyAAv0YIJcJECBAgAABAjUIWCMBAgQIECBAgAABAgQIECAQX0BCAgQIEOhfQIHev7EZCBAgQIAAAQIEjhZwlQABAgQIECBAgAABAgQIEIgvICEBAgSqEFCgV7FNFkmAAAECBAgQIFCugJURIECAAAECBAgQIECAAAEC8QUkJEBgKgIK9KnstJwECBAgQIAAAQIEFgk4R4AAAQIECBAgQIAAAQIECMQXkJAAgZUFFOgrU7mRAAECBAgQIECAAIHSBKyHAAECBAgQIECAAAECBAgQiC8gIYEhBRToQ2qbiwABAgQIECBAgAABAo8FfCJAgAABAgQIECBAgAABAgTiC0hYmYACvbINs1wCBAgQIECAAAECBAiUIWAVBAgQIECAAAECBAgQIECAQHyB6SVUoE9vzyUmQIAAAQIECBAgQIAAAQIECBAgQIAAAQIECBAgQIBAfIENEirQN0DzCAECBAgQIECAAAECBAgQGFPA3AQIECBAgAABAgQIECBAgEA/AiUV6P0kNCoBAgQIECBAgAABAgQIECBQkoC1ECBAgAABAgQIECBAgACBYgUU6J1tjYEIECBAgAABAgQIECBAgACB+AISEiBAgAABAgQIECBAgEBkAQV65N1dJ5t7CRAgQIAAAQIECBAgQIAAgfgCEhIgQIAAAQIECBAgQIDAkQIK9CN5XKxFwDoJECBAgAABAgQIECBAgACB+AISEiBAgAABAgQIECBAoG8BBXrfwsYncLyAOwgQIECAAAECBAgQIECAAIH4AhISIECAAAECBAgQIFCBgAK9gk2yRAJlC1gdAQIECBAgQIAAAQIECBAgEF9AQgIECBAgQIAAAQLTEFCgT2OfpSRAYJmA8wQIECBAgAABAgQIECBAgEB8AQkJECBAgAABAgQIrCigQF8Rym0ECBAoUcCaCBAgQIAAAQIECBAgQIAAgfgCEhIgQIAAAQIECAwnoEAfztpMBAgQIPCkgG8ECBAgQIAAAQIECBAgQIBAfAEJCRAgQIAAAQJVCSjQq9ouiyVAgACBcgSshAABAgQIECBAgAABAgQIEIgvICEBAgQIECAwNQEF+tR2XF4CBAgQINAIOAgQIECAAAECBAgQIECAAIH4AhISIECAAAECawso0Ncm8wABAgQIECAwtoD5CRAgQIAAAQIECBAgQIAAgfgCEhIgQIAAgTEEFOhjqJuTAAECBAgQmLKA7AQIECBAgAABAgQIECBAgEB8AQkJECBAoFIBBXrLjXvw4MGRIxx3/ciHXSRAgAABAgQIFCdgQQQIECBAgAABAgQIECBAgEB8AQkJECAwXQEFesu9v3HjRjp//ny6ePHiwuPtt99OSvSWyB4nQIAAAQIECHQlYBwCBAgQIECAAAECBAgQIEAgvoCEBAhUK7Czs5O2t7cX9q6zPvb69eupz38U6C11L126lJqNfOONN9Kio9ngra2tlrN4nAABAgQIECBAgEBKDAgQIECAAAECBAgQIECAAIH4AhISmLJA8weXd3d3F/ausy72+eef75VIgd4rr8EJECBAgAABAgQIEHhXwA8CBAgQIECAAAECBAgQIEAgvoCEBKoXUKBXv4UCECBAgAABAgQIECDQv4AZCBAgQIAAAQIECBAgQIAAgfgCEhJISYHuLSBAgAABAgQIECBAgEB0AfkIECBAgAABAgQIECBAgACB+AISdiKgQO+E0SAECBAgQIAAAQIECBAg0JeAcQkQIECAAAECBAgQIECAAIH4AqUkVKCXshPWQYAAAQIECBAgQIAAAQIRBWQiQIAAAQIECBAgQIAAAQIEKhLYsECvKKGlEiBAgAABAgQIECBAgAABAhsKeIwAAQIECBAgQIAAAQIECExLYJoF+rT2WFoCBAgQIECAAAECBAgQIDBNAakJECBAgAABAgQIECBAgMCaAgr0NcFKuN0aCBAgQIAAAQIECBAgQIAAgfgCEhIgQIAAAQIECBAgQIDA8AIK9OHNpz6j/AQIECBAgAABAgQIECBAgEB8AQkJECBAgAABAgQIECBQpYACvcpts+jxBMxMgAABAgQIECBAgAABAgQIxBeQkAABAgQIECBAgACBqQoo0Ke683JPU0BqAgQIECBAgAABAgQIECBAIL6AhAQIECBAgAABAgQIbCygQN+YzoMECAwtYD4CBAgQIECAAAECBAgQIEAgvoCEBAgQIECAAAECBMYUUKCPqW9uAgSmJCArAQIECBAgQIAAAQIECBAgEF9AQgIECBAgQIAAgcoFFOiVb6DlEyBAYBgBsxAgQIAAAQIECBAgQIAAAQLxBSQkQIAAAQIECBBQoHsHCBAgQCC+gIQECBAgQIAAAQIECBAgQIBAfAEJCRAgQIAAAQIdCCjQO0A0BAECBAgQ6FPA2AQIECBAgAABAgQIECBAgEB8AQkJECBAgACBMgQU6GXsg1UQIECAAIGoAnIRIECAAAECBAgQIECAAAEC8QUkJECAAAECYQQU6GG2UhACBAgQIECgewEjEiBAgAABAgQIECBAgAABAvEFJCRAgAABAo8FFOiPLXwiQIAAAQIECMQSkIYAAQIECBAgQIAAAQIECBCILyAhAQIECHQqoEDvlNNgBAgQIECAAAECXQkYhwABAgQIECBAgAABAgQIEIgvICEBAgRKE1Cgl7Yj1kOAAAECBAgQIBBBQAYCBAgQIECAAAECBAgQIEAgvoCEBAgEFFCgB9xUkQgQIECAAAECBAi0E/A0AQIECBAgQIAAAQIECBAgEF9AQgIEFgko0BepOEeAAAECBAgQIECAQL0CVk6AAAECBAgQIECAAAECBAjEF5CQQE8CCvSeYA1LgAABAgQIECBAgACBTQQ8Q4AAAQIECBAgQIAAAQIECMQXkLBcAQV6uXtjZQQIECBAgAABAgQIEKhNwHoJECBAgAABAgQIECBAgACB+AKhEyrQQ2+vcAQIECBAgAABAgQIECCwuoA7CRAgQIAAAQIECBAgQIAAgfgCRydUoB/t4yoBAgQIECBAgAABAgQIEKhDwCoJECBAgAABAgQIECBAgACB1gLFF+itExqAAAECBAgQIECAAAECBAgQKF7AAgkQIECAAAECBAgQIECAQAkCCvR+d8HoBAgQIECAAAECBAgQIECAQHwBCQkQIECAAAECBAgQIEAgiIACPchG9hPDqAQIECBAgAABAgQIECBAgEB8AQkJECBAgAABAgQIECBAYCagQJ9J+BlPQCICBAgQIECAAAECBAgQIEAgvoCEBAgQIECAAAECBAgQ6FBAgd4hpqEIdClgLAIECBAgQIAAAQIECBAgQCC+gIQECBAgQIAAAQIECJQloEBvuR8vvfRSunz58tJjd3e35QweJ1ClgEUTIECAAAECBAgQIECAAAEC8QUkJECAAAECBAgQINCpwJtvvpnOnz+/tHttetmrV692OufhwRToh0XW/P7iiy+ma9euLT22t7fXHNHtBAiML2AFBAgQIECAAAECBAgQIECAQHwBCQkQIECAAAECBEoTOHv2bNrZ2VnavTa97JUrV3pdtgK9V16DEyBAYAQBUxIgQIAAAQIECBAgQIAAAQLxBSQkQIAAAQIECBDoRUCB3gurQQkQIEBgUwHPESBAgAABAgQIECBAgAABAvEFJCRAgAABAgQIlCqgQC91Z6yLAAECBGoUsGYCBAgQIECAAAECBAgQIEAgvoCEBAgQIECAQGABBXrgzRWNAAECBAisJ+BuAgQIECBAgAABAgQIECBAIL6AhAQIECBAgMBRAgr0o3RcI0CAAAECBOoRsFICBAgQIECAAAECBAgQIEAgvoCEBAgQIECgZwEFes/AhidAgAABAgQIrCLgHgIECBAgQIAAAQIECBAgQCC+gIQECBAgUL6AAr38PbJCAgQIECBAgEDpAtZHgAABAgQIECBAgAABAgQIxBeQkAABApMQUKBPYpuFJECAAAECBAgQWC7gCgECBAgQIECAAAECBAgQIBBfQEICBAisJqBAX83JXQQIECBAgAABAgTKFLAqAgQIECBAgAABAgQIECBAIL6AhAQIDCagQB+M2kQECBAgQIAAAQIECBwW8J0AAQIECBAgQIAAAQIECBCILyAhgZoEFOg17Za1EiBAgAABAgQIECBQkoC1ECBAgAABAgQIECBAgAABAvEFJJyYgAJ9YhsuLgECBAgQIECAAAECBB4J+JUAAQIECBAgQIAAAQIECBCILyDhugIK9HXF3E+AAAECBAgQIECAAAEC4wtYAQECBAgQIECAAAECBAgQIBBfYISECvQR0E1JgAABAgQIECBAgAABAtMWkJ4AAQIECBAgQIAAAQIECBAoU6DLAr3MhFZFgAABAgQIECBAgAABAgQIdClgLAIECBAgQIAAAQIECBAgEFZAgf7e1vpAgAABAgQIECBAgAABAgQIxBeQkAABAgQIECBAgAABAgQILBdQoC+3qeuK1RIgQIAAAQIECBAgQIAAAQLxBSQkQIAAAQIECBAgQIAAgV4FFOi98hp8VQH3ESBAgAABAgQIECBAgAABAvEFJCRAgAABAgQIECBAgEDpAgr00nfI+moQsEYCBAgQIECAAAECBAgQIEAgvoCEBAgQIECAAAECBAhMQECBPoFNFpHA0QKuEiBAgAABAgQIECBAgAABAvEFJCRAgAABAgQIECBAYBUBBfoqSu4hQKBcASsjQIAAAQIECBAgQIAAAQIE4gtISIAAAQIECBAgQGAgAQX6QNCmIUCAwCIB5wgQIECAAAECBAgQIECAAIH4AhISIECAAAECBAjUI6BAr2evrJQAAQKlCVgPAQIECBAgQIAAAQIECBAgEF9AQgIECBAgQIDApAQU6JPabmEJECBA4LGATwQIECBAgAABAgQIECBAgEB8AQkJECBAgAABAusJKNDX83I3AQIECBAoQ8AqCBAgQIAAAQIECBAgQIAAgfgCEhIgQIAAAQKDCyjQByc3IQECBAgQIECAAAECBAgQIECAAAECBAgQiC8gIQECBAgQqFFAgV7jrlkzAQIECBAgMKaAuQkQIECAAAECBAgQIECAAIH4AhISIECAwEQFFOgT3XixCRAgQIAAgakKyE2AAAECBAgQIECAAAECBAjEF5CQAAECBDYVUKBvKuc5AgQIECBAgACB4QXMSIAAAQIECBAgQIAAAQIECMQXkJAAAQIjCijQR8Q3NQECBAgQIECAwLQEpCVAgAABAgQIECBAgAABAgTiC0hIgEDdAgr0uvfP6gkQIECAAAECBAgMJWAeAgQIECBAgAABAgQIECBAIL6AhAQmL6BAn/wrAIAAAQIECBAgQIDAFARkJECAAAECBAgQIECAAAECBOILSEigvYACvYXhw4cP02uvvZbOnz+/9Njd3U337t1rMYtHCbASUHcAABAASURBVBAgQIAAAQIECBCYvAAAAgQIECBAgAABAgQIECBAIL6AhGlvby8988wzS7vXc+fOpRs3bvQqpUBvwXvixIl09uzZtLOzs/Ro7jl16lSLWTxKgAABAgQIECBAgACBugWsngABAgQIECBAgAABAgQIEIgv0EXC06dPp9u3by/tXm/dupUuXrzYxVRLx1CgL6VZ7cL29vaRNzabfOQNLhIgQIAAAQIECBAgQIBAyQLWRoAAAQIECBAgQIAAAQIECBQksLW11cdq3htTgf4ehQ8ECBAgQIAAAQIECBAgQCCagDwECBAgQIAAAQIECBAgQIDAOgJ1FujrJHQvAQIECBAgQIAAAQIECBAgUKeAVRMgQIAAAQIECBAgQIAAgYEFFOgDgzfTOQgQIECAAAECBAgQIECAAIH4AhISIECAAAECBAgQIECAQH0CCvT69mzsFZufAAECBAgQIECAAAECBAgQiC8gIQECBAgQIECAAAECBCYpoECf5LZPObTsBAgQIECAAAECBAgQIECAQHwBCQkQIECAAAECBAgQILCZgAJ9MzdPERhHwKwECBAgQIAAAQIECBAgQIBAfAEJCRAgQIAAAQIECBAYTUCBPhq9iQlMT0BiAgQIECBAgAABAgQIECBAIL6AhAQIECBAgAABAgRqFlCg17x71k6AwJAC5iJAgAABAgQIECBAgAABAgTiC0hIgAABAgQIECAwcQEF+sRfAPEJEJiKgJwECBAgQIAAAQIECBAgQIBAfAEJCRAgQIAAAQIE2goo0NsKep4AAQIE+hcwAwECBAgQIECAAAECBAgQIBBfQEICBAgQIECAQAECCvQCNsESCBAgQCC2gHQECBAgQIAAAQIECBAgQIBAfAEJCRAgQIAAgRgCCvQY+ygFAQIECBDoS8C4BAgQIECAAAECBAgQIECAQHwBCQkQIECAAIF3BRTo70L4QYAAAQIECEQUkIkAAQIECBAgQIAAAQIECBCILyAhAQIECBDoTkCB3p2lkQgQIECAAAEC3QoYjQABAgQIECBAgAABAgQIEIgvICEBAgQIFCWgQC9qOyyGAAECBAgQIBBHQBICBAgQIECAAAECBAgQIEAgvoCEBAgQiCagQI+2o/IQIECAAAECBAh0IWAMAgQIECBAgAABAgQIECBAIL6AhAQIEHhKQIH+FIkTBAgQIECAAAECBGoXsH4CBAgQIECAAAECBAgQIEAgvoCEBAj0IaBA70PVmAQIECBAgAABAgQIbC7gSQIECBAgQIAAAQIECBAgQCC+gIQEChVQoBe6MZZFgAABAgQIECBAgECdAlZNgAABAgQIECBAgAABAgQIxBeQMK6AAj3u3kpGgAABAgQIECBAgACBdQXcT4AAAQIECBAgQIAAAQIECMQXkPAIAQX6ETguESBAgAABAgQIECBAgEBNAtZKgAABAgQIECBAgAABAgQIxBfoN6ECvV9foxMgQIAAAQIECBAgQIAAgdUE3EWAAAECBAgQIECAAAECBAiMLtB7gT56QgsgQIAAAQIECBAgQIAAAQIEehcwAQECBAgQIECAAAECBAgQiCCgQD96F10lQIAAAQIECBAgQIAAAQIE4gtISIAAAQIECBAgQIAAAQIEDgQU6AcMUX+RiwABAgQIECBAgAABAgQIEIgvICEBAgQIECBAgAABAgQIdCWgQO9K0jjdCxiRAAECBAgQIECAAAECBAgQiC8gIQECBAgQIECAAAECBAoSUKAXtBmWEktAGgIECBAgQIAAAQIECBAgQCC+gIQECBAgQIAAAQIECMQSUKDH2k9pCHQlYBwCBAgQIECAAAECBAgQIEAgvoCEBAgQIECAAAECBAgcElCgHwLxlQCBCAIyECBAgAABAgQIECBAgAABAvEFJCRAgAABAgQIECDQvYACvXtTIxIgQKCdgKcJECBAgAABAgQIECBAgACB+AISEiBAgAABAgQIFCmgQC9yWyyKAAEC9QpYOQECBAgQIECAAAECBAgQIBBfQEICBAgQIECAQFQBBXrLnX3w4MGRI+zt7R153UUCBAgQKErAYggQIECAAAECBAgQIECAAIH4AhISIECAAAECFQvcuXOn19Ur0Fvy3rp1K50+fTqdOXNm4fHw4cPUHC2n8TgBAgQIEFhBwC0ECBAgQIAAAQIECBAgQIBAfAEJCRAgQIBAXIHmDy+fPHlyYe/a9LFNL3v37t20v7+f+vpHgd5S9sKFC6n5U+bNRi06tre304kTmFsye5wAAQIEpiAgIwECBAgQIECAAAECBAgQIBBfQEICBAgQIHCEwNbWVrp//35a1Ls255pe9uLFiynnfMQo7S5pdtv5eZoAAQIECBAgcCDgFwIECBAgQIAAAQIECBAgQCC+gIQECBAgEF9AgR5/jyUkQIAAAQIECBwn4DoBAgQIECBAgAABAgQIECAQX0BCAgQIEFhBQIG+ApJbCBAgQIAAAQIEShawNgIECBAgQIAAAQIECBAgQCC+gIQECBAYRkCBPoyzWQgQIECAAAECBAgsFnCWAAECBAgQIECAAAECBAgQiC8gIQEC1Qgo0KvZKgslQIAAAQIECBAgUJ6AFREgQIAAAQIECBAgQIAAAQLxBSQkMCUBBfqUdltWAgQIECBAgAABAgTmBXwmQIAAAQIECBAgQIAAAQIE4gtISGAtAQX6WlxuJkCAAAECBAgQIECAQCkC1kGAAAECBAgQIECAAAECBAjEF5BwaAEF+tDi5iNAgAABAgQIECBAgACBlBgQIECAAAECBAgQIECAAAEC8QUqTKhAr3DTLJkAAQIECBAgQIAAAQIExhUwOwECBAgQIECAAAECBAgQIBBTYL5Aj5lQKgIECBAgQIAAAQIECBAgQGBewGcCBAgQIECAAAECBAgQIEBgiUCgAn1JQqcJECBAgAABAgQIECBAgACBQAKiECBAgAABAgQIECBAgACB/gQU6P3ZrjeyuwkQIECAAAECBAgQIECAAIH4AhISIECAAAECBAgQIECAQNECCvSit6eexVkpAQIECBAgQIAAAQIECBAgEF9AQgIECBAgQIAAAQIECEQXUKBH32H5VhFwDwECBAgQIECAAAECBAgQIBBfQEICBAgQIECAAAECBAgcK6BAP5bIDQRKF7A+AgQIECBAgAABAgQIECBAIL6AhAQIECBAgAABAgQIDCGgQB9C2RwECCwXcIUAAQIECBAgQIAAAQIECBCILyAhAQIECBAgQIAAgUoEFOiVbJRlEiBQpoBVESBAgAABAgQIECBAgAABAvEFJCRAgAABAgQIEJiOgAJ9OnstKQECBA4L+E6AAAECBAgQIECAAAECBAjEF5CQAAECBAgQIEBgDQEF+hpYbiVAgACBkgSshQABAgQIECBAgAABAgQIEIgvICEBAgQIECBAYFgBBfqw3mYjQIAAAQKPBPxKgAABAgQIECBAgAABAgQIxBeQkAABAgQIEKhOQIFe3ZZZMAECBAgQGF/ACggQIECAAAECBAgQIECAAIH4AhISIECAAIEpCijQp7jrMhMgQIAAgWkLSE+AAAECBAgQIECAAAECBAjEF5CQAAECBAhsJKBA34jNQwQIECBAgACBsQTMS4AAAQIECBAgQIAAAQIECMQXkJAAAQIExhJQoI8lb14CBAgQIECAwBQFZCZAgAABAgQIECBAgAABAgTiC0hIgACBigUU6BVvnqUTIECAAAECBAgMK2A2AgQIECBAgAABAgQIECBAIL6AhAQITFtAgT7t/ZeeAAECBAgQIEBgOgKSEiBAgAABAgQIECBAgAABAvEFJCRAoKWAAr0loMcJECBAgAABAgQIEBhCwBwECBAgQIAAAQIECBAgQIBAfAEJCYwvoEAffw+sgAABAgQIECBAgACB6ALyESBAgAABAgQIECBAgAABAvEFJAwhoEAPsY3dh3h99+30wdd+3cHAO+Ad8A54B7wD3gHvgHfAO+AdSH5v4PdG3gHvgHfAO+Ad8A54B7wD3gHvgHfAOxD5Hei+aatzRKt+JKBAf+Tg1wUC127fTQ4G3gHvgHfAO+Ad8A54B7wD3gHvQOXvgN/X+L2dd8A74B3wDngHvAPeAe+Ad8A74B3wDix9B157a29BS+ZUhQKdLVmB3hmlgQgQIECAAAECBAgQIECAQNcCxiNAgAABAgQIECBAgAABAgSGFBinQB8yobkIECBAgAABAgQIECBAgACBcQTMSoAAAQIECBAgQIAAAQIEKhNQoG+wYfOPXL16NV26dGnpsbfnr32Y9/KZAAECBAgQIECAAAECBAjUImCdBAgQIECAAAECBAgQIDCswM2bN9Nzzz23tHttetlr1671uigFekveK1eupFdffXXpcfr06ZYzdP64AQkQIECAAAECBAgQIECAAIH4AhISIECAAAECBAgQIECgOoELFy6kGzduLO1em1728uXLveZSoPfKa/DuBYxIgAABAgQIECBAgAABAgQIxBeQkAABAgQIECBAgAABAuMIKNDHcTfrVAXkJkCAAAECBAgQIECAAAECBOILSEiAAAECBAgQIECAQLUCCvRqt87CCQwvYEYCBAgQIECAAAECBAgQIEAgvoCEBAgQIECAAAECBKYsoECf8u7LTmBaAtISIECAAAECBAgQIECAAAEC8QUkJECAAAECBAgQINBKQIHeis/DBAgQGErAPAQIECBAgAABAgQIEFhN4P79e+m7v+Ufpl/75Q+t9oC7CBAoSMBSCBAgQIAAAQIExhZQoI+9A+YnQIDAFARkJECAAAECBAgQIEBgEIGmPP/Wr/rK9P6v/9r06su/OsicJiFAgMB7Aj4QIECAAAECBAIIKNADbGINEd7e20u/+os/n374+/5d+tav/or0xZ/+SelzP+5j06d85Avpkz7i0sHRfG7Ofc0X/uX0Ix/4D+nunTs1RLPGFQV277yVfuFnfjr9wHd/V/qmr/iy9EWf/CcO3oFP++gPP9j/2XvQ/PzMj/2dB9e+/HM+I33nN3zdwXPNO7TiVG4j0LmAAQkQIECAAAECBPoXeOmXfjH97b/02enP//6POvg9QP8zxpvh/v17qSnPP/Bd70/7+/ujBNx5/cbB7/u++NM+MX3yb/+N6a/8qY9Lv/izHxxlLSYlQIDAugLuJ0CAAAECBAg0Agr0RsHRqUDzm/T/d/3V9EPf+z2pKcObMvRTP+o3py/4xD+evu5LvjD9+/d/e/qFD/5UunHtldT85n42efO5Ofej/+n709f+tc9Pn/n7PjJ9zz/55ifumd3rZ/kCDx88ONjnb/vqr0yf84c/Jn36R39Eav4Fyje+70vSf/zX/zL98s/974N3YNF/KHH713cOrn3wx34kfdc3ff3Bc5/2e35r+ua/8770xmvXyw9vhQTKErAaAgQIECBAgEDRAm/fvXvw/+//q5/wR9NP/ucfSrduvpF+9id+tOg1l7i45vfi3/sd/zhwEjm9AAAQAElEQVQ15Xmzvt/w/OX0mz78tzUfez+auX/l5//PwX8A8dl/8KNT8/u+5j+gfvjwYXr5Q7+UvuJzPys133tfiAkIECAwbQHpCRAgQIAAgY4EFOgdQU59mFlZ+o++8m+mpjBvCtO//6VflJoyvClDN/FpCvXv+HtfnZp/AdD8ZnyTMTwzjsDrr15LX/ZZfzY1f9PA973/n6bmP6hou5LmX7x8/3f+s/R5H/+H0n/74R9sO5znCRCoRsBCCRAgQIAAgcgC13/t5fS+v/jnDv7mqfmcz166PP+1is93br958Deuferv/i3pJ37wBwZf84/9wAfSP/+6r3lv3k/53M9Ll1548b3vfX1o/uaAL/2MT05f+Gc+/uA/gFg0z1u3fj19+9d+VXrrzVuLLvd6rvn3CT/z4//l4E/CN0V+87ej9TqhwQkQIEBgQwGPESBAgACBcgQU6OXsRbUraf4qts//k3/koCz9wL/6F6n5jXGXYf7tt31T+rUP/dKRQzb/ouLffPM3puZPLB95o4u9CzT/MuIf/K2/kX7up/9HL3Pt7e4e/E0G/vRCL7wGJUCgawHjESBAgAABAksFmt8z/PVP/YSD3ztsnTyZTn3Yhx3c2/zJ6d/1sX/g4HMtv/zP//rj6Qv+9B87+BvXmj9R//KH/u+gS29+f/QN7/uS1PyHx83Ev+P3fkz6hM/6C83H3o7mbxNr/k+0NX9zwM//9E8eO8//+u8/kX7up/r5feKyyZs1fsvf/fKD/0ij+ZPwV3/lQ+nOCCX+svU5T4AAAQKBBEQhQIAAgVACCvT/z96ZwOtU/H/8e+7FT4mUZCmlFKmUpbRq0yIhipIk0WKpyJKoKNpJRYUWIUlpoWjf9420addOWrX9/i30+5/P3DuP8zz3ufv23Oe+7+vOc2Zf3jPnnJn5zsxJq+os+8JokK4V3Ku//LxQidepV9/aHdXFBl18hY25/hanRl033Y4++VSTWzSy39autTXffBW1itNLgK+JitlXX25P3rcgzq0yGTyHc3t2LbdjzrWyf8ncWfbmC8+WKnot0ph77VWmialSTagYkavdXtC3p9uF8evan4sRE0EhAAEIlB8BUoYABCAAgfIhsOqLz5wwdsKAU+zvv/4qn0yUYqoaNzz/0IM2qmc3d1x73QYNbcjlk61a9Y1cqvsf2cnqbd3I6VP9R6exLZp1cyigPdZ9hkr53XzLerZfh6OkLROl8ca0i0bHFrNnZGRYz8HnWK3am5Va+hp/ase5PtFW0EQOOOpoa956j4J6L7Y/nW4wqlc300lmPrJDuvawzbes741cIQABCEAAAhDIJsAFAhCAAATiCSBAj+eBqRAENKkzYUDf2CA9r6D67trxg4bYtEeetQc+/Mpuf2m5jZ5yk3Xq3dc0OSJ1YKeudsbYS2z280utz7BRseiCIDDtRrAkfzrKWwPi71evSuJaeaw8hy8+/tC0qv/jd94ql8KvfP9du2valHzT1oRSs5atrUPP3tZir32cfy2cuH7xkzbruTds3E1z3ATa4T1OsAbbNHbuiT8qp44KTLRPBbOOJbz8rNNs2fPPmO6T777OfQFIKuSXPEAAAhBIUwIUCwIQgECFJPDdN1/b2H4nmvr2n7z3thX1k1ipWngJzxfffptdOeQM02e76m+zrY27+XZ755UX3dhSY4XOffpZEASpWoRYvrS7+brRw2zGhAtjO7/l2OusYdZw2+2kLXUlhjq2XQJtn1j7bj1sj4MO8cYSvfoFA8OO7WirvyzYQvp9D+9oM595zc6bMsNq1KxVovnJLTId2T6k6xEWHRtvu2Mz07H2QZD6bcv4gwAEIAABCECgMATwCwEIQKDECWSUeIxEWCkI6JjuG8ael+dO5+133tVGXH29LVj+kd30+At28vDRts0OTW3NV1+679s9PP92W79+XQ5eGZmZtseB7e0/G2XtPqjbcKsw3I45/L346BK7ZMAppiO9veM2Ozb12kpz1ap6HZvnOYibhNFlDUC7wW+/5io36RVNe8uttnYnC1w6525b8OaH9tCn39rcl9+ya+59yPqOPD9Wf42bNbett2ti8r9X+8PtiON62dArrrFbn37FFq74wsbOmGVqUz5ulXdNHicTeH9lfdWE4L03TzP/OYGNN6lpm2y6aVlng/TSnMBP362xk9u1sY5N6tvVI85O89LGF+/Xn38yHRPabdft7JN33453zDbpcyJic825Q0z3ZCrwSoU8ZOMp1mXBjOtdu8uLf7ESyCew2rvqVu1fTPPxnsO5vPOfI0N5WuBYGQh89cnHdnybnazvAXvYj2tWV4YiU8Z8CEgYeusVF9uqz1c6n7XrbGHV/lPd6dPhR+9lCc9nTLjACZwlPL/45rm2+ovP7cn7F7gilqXw2SVYxB+dOHXJoH72+L13xcWgRcKHh2OZOMtSNLz6xGP22N3zYiloAcLxg4dalSpVY3YlpdGY78Zxo3MsGMgr/iAI7OXHH7Z+B7V1pyqsXPFuXt6L7aY2ptMNLux7gjvdwEdYo9amNvTKa033lLfjWr4EfL9MfbtXn3ysXDJT3L5luWS6DBLNjYvGXxoHqM5Uf2WQlZRJQs8WfQLinptucJ+wPK71Tm5cJBZSXZo1stMP299mjL/APly+zLTYKGUynyIZoV2lSEWQjRQlQLYgAIFUJJCRipkiT6lP4OmF9+R5TPdxA86y6x98wg7p2j22wly7hYf36GSnHbqfLZp9i23ffFfLzKySo7CaNJLwQwJSOXbp09/q1GsgbUxpx/Wk4We6HQveMggC22HX3byxUlzFauaV4+3bL7+IlbftwYda452ax8xlpfn0/Xdt2fPPmo4LbN3uIBs99Wa3eEI7ynWyQKv9DjBNWvj8KO9+p4TCHHViX6tWPfnkYLX//Mf2PrSDTV6w2A495jgfRTix+FlMnyqa5S8+Z3dPuy6Wna23b2KbhhOfMQs0EEgxAto5dfe0Kbb2h+9zzZmbKLj5xlzdy9JB3xP9JhQqaEFW/Ubb5khaC7PefOE5Z98yfO4EATuMHAx+IFCGBPQd4KcX3VuGKVbcpLS7WEK4HVu0tNpb1K24BSHnJUZAglAJ/3yEjZvuFPahy2bHrk+ztK4SPjxx393mhecaG4y6drplVq1i0y4eY//++68dduzxVpbC56KW9efvvzOdxrbs+Wfiomi5bzvrf97YUhFexyWUbfjum6/ttomXOnbZVlZaCxB0ytaEgf1MY3WfVkGuqncp+dWpClcOHZBnv1P+iqqUjtqYP93Ax6Px5tDLJ1uz3Vt5K64QKHcCmhN5aN5s+/zD98s9L2QgdwIShL/yxCM24Ih2bj5z5pUTnIA88XQY1efXKz9x853nHNvRTtx7N3vmwfsRpOeOFhcIQCCdCFAWCKQpAQToaVqxpVksCVkWzbo5aRLVN97YdtljL2t7yGExdw1itZvgzKPa2wdvLnX2p4wck3Tw+t/ff7MZ4y+0R+bPdf60er9L31Od3v98+NabNnHYYLdzedc99zYJXuUmQeV2zcpecKy0y0u99OhD9sLDi2PJaxLquIFnl9mETSzhULNji91tzgtL7b53P7NLZs23dh07xxZPhM45/l+N7JTo0PMk2/Pg9jn8JFpIwL5fh06J1iljXvvjD3bTJWPjJrD279DZNtq4RsrkMdUzMmfylfbs4oVxi2NSPc8VOX8SjI84vostCSduNGmdWBY9v1UfZ3Y+1L748INE53Ixr1j6uq1ft859PzPZ6Q56R338znKrWbu27bBL5VpUVS4VQqIQiBDQxKF25Yzufaz98O3qiEvF05ZFjvWM1cI7pdVq/wMsM8nCUrmhKg8BCRfVF/IlDoLADujUtUIcZe7znNdVY5frzjvH9ZW9QFNjuOsvONedbNaw8fZ24pCR5TKWySvfiW56vl102knu01lRN+VfJ2jVKKMjyrVo8O7pU23V51mnFSgvGh8f2LmbtCWqJDy/dFB/W/rcU/nGq7pt3+04u3rBg6aTxBZ/9I31HTEmFu6rTz+xT957J2YuKY2eqTrdwLexaLw6+WzfIzpGrcpMr3fjfbdMs667NHa7VR+YfUux09aJgDPGX2A6pl7CvWJHSARlTkCLcC4bfKrdfNlFtu6ff8o8fRIsGAHVk04aGX9GX9OzS8+3dkd1sQm33Wnzl75vSz5Z7U5Z1FVmnbzY8YQ+bnPILz/9aFcNHWgX9O1piqdgKeILAhCAAATKgwBpQiA3Ahm5OWAPgdwIaLCrjqN336lVG7fbWJ3F+95ZaRPvWmQ7t2nrnDWIvf/W6Xb1iLNiArEOPXvn2FWgHZASyvfZr7UtuWOW28Xcb9SFNujiy+MmULTCXsLzP379xXbbez8769JJ9u5rL7u0Djiqa6XauSNh7Z1TJ7vjiR2A8KfH6YNNO/tDbZn/64hA7ZzSbvH8El/1xWexXSb6Dl3voSMts4CTxh8sz1qEoTQaNt5Ol5RQausPzL7VfavSZ6hOvQa258GHeiPXAhD4ftU3duWQAdb/4L0RpBeAV3G9zL/hOsvrGE0N9LXC3p8IUtz0ihv+77/+ij3zW+57QNLovvzkY1M7atysuW3RsGFSP1hCAAKlQ+DzD963O6ZMcsKx0kkhvWL9be3PpoWh+vxO0xYtS7JwxFUBCUjINi+8f/SpEp/9pru3Mo21vLkiX7U4YOoFI2PPBwk02x5ymN16xXjTp4+0EHjk5Bvc55xSuZzqG10VCkQ+fuetuGyWR/7ffvlFe2T+7bF8VKlazfoMH53nIuaY50JoJDy/4uwBrp4sn7/OffrZvNffs+GTpljz1nuaxoYZmZl2SLcecafKffbBinxiKpyzxmLaee5PN4iG1vxD136nl8tCFN3XOvL+lssvNh1/L+FboyY7RrNXZP3KD96z0b2729ldj0CQXmSK5tqqPjM3+/mlps8fFCOqQgVVe33liUcLFSYVPOvUx/vf/cwJjXuccWYqZKnU8qDP7Aw/rrOpnnTvaoHX3W9+aKOn3GRtDjjYatXeLPZcCYLAmXXy4pmXXGV3L/3ANKepeTK948ac1MM0n1lqma0gEevdUB73WwXBQzYhAAEIFJUA4UqRAAL0UoSbrlE3b72H9Rk2ykZnH9E9+Z4lbrdxrbDzGC2zBrH33nyjabDo7f2RdhKW/rjmW3v07nk2qlc3O6bF9jZjwoWmHej7Ht7Rpj/6vHUPhcHqbPqwGrhfe945boV9rc02t4EXXWbvvPqiE1hqoHNw12O910pxffye+a7svrBNd2tpHU44KdaB9/apdlU9+l0mmuQZPOGqAn+H7vvVq+z5JQ+4ImVWqVLgcC5AKf989Nabdv/M6XGpHNa9p9XbulGcHYa8CWxWt67zIAEognSHgp8IgZ+++9btWNqs7pbWuNlOEZcN2rdfedEtLNJCLk5/2MAFHQQgkHoE8vskRerluKxyVDnT0e7s6MlSotD5pH4lLgxVvGWt1P/XVxQPCgAAEABJREFUblm/OEACzaP7nmaLZt1sj8yf6xZPV4TjtVUOLeZ+9/VX4hBKsFLW+f917c82++rLYwsSlKGjTjzZdtmjrbQlpiQA1iKH/HaeN9imsV17/yM2cNxlTohUYhkoYES6f5LtPPfzD9F5hQJGWSLelK9H77ojFlfnPv1NnxiKWRRRo/mUTTev40JrMSyCdIeCHwiUGAEJuy8+42T3ucS6DRra5HsfshPPHm4bb1KzQGno9ETNad6w5Clr1GQHN3en+Uy9RwoUAZ4gAAEIQAAClYZAahc0I7WzR+5SkUCNmrWs5+BznNBc+mR59MJz7Vz07kEQWJCRYUOOPsI6N93KTtq3pV03elgoBH/ZNPjrOXiozX5hmV0wbabpKD8fTlc/cNfKTZlPv2C8Va1WzeZNnSyjHdN/gDXcNnV2I7tMleKPBMnRgbgE0aeOubhcJisKU0y1i4fvvN18PfYeMqLAkzxqA3deP9m0e11pbtV4+3AgUjKr9xVfcZR2E9x5wzXuswI+Hh2feOxpA0t8QYPKr8nVwn4nrajhfHnK6qpV2jc9/qJpIY3S9IL0k/ZpaU8vujd2koXcUJWPwOcffuCOv9thlxa2+Zb1cwDQcZYrlr7m7judUpLDAxYQgAAEUojAinw+SZFCWSUrhSFQBL/JTpY67Njj7YBORxchttQKov7/krmzYv3/hmEf/viBQ+zBObeaxooSPmth9n4djkqtjCfkRkIPjV39OMY7l1f+NRb86O3lPhtuLHzMqSU/9nhg1i1ukUMsoSSa/Y44ygnPtaA7ibOz0oIhLYR0hvBnmx2ahr8l8//a00/YpBFnxi0mUMwSnp9/461lughFJ+ste/4Zm3vtxDBPZ9k1o4a6hZ3Kj9TS5562Gy4cZV+v/FTGIivt7Nd9c00o1POnVHhB+sAjD7Q3X3jWONq9yHgJWMkJaH7nxotGmz6PoXfWxLsesLyeb3nharTDjjbhtvmmePT+0PtQ78W8wuAGAQhAAAIQgEDqEMhXgJ46WSUnqUxAx+qqc/ny4w+7weLFp53kJkSieVYnUQM5CfIyMjJNA1odbXTbs6/bvNfetT7DzjOt7IyG8frH7p4XG7jrqL+92h9usydd5r6V12r/A+3IXn281xxXDWKff+hBu/CUE9xO945N6tu5PbvaD9+uzuE3NwsNPt9f9rpdcfYZ1qVZI6duv+YqW79+XW5BStVePMTRJ1KQ3QbapaAd/+cc29HlXxyuOmeQaTLIx1PaV33nc9bES10yqv+jevd1gi5nkceP+N9387RYG5DXdh27mE4i0KkF0y4e44781iphuRVF/br2Z3ciQlH4vP7sk/Z6OHHj09URjv1Hj8t1skZp6Tt4gzoebJ12bOi+hacFJc8tWRQ3weLj89dPV7xjQ7p2sMvOPNXGD+hra3/43jvleS1qON2z33z2qbuXdaS62oy+3bfkjtlJ86l76pKB/ezcE7oWq11pAY0W0sx85jXT5LEKp++HaccPgnTRyKl0j2jycMRxXWJtSs+qi07tbR8uX5ajvq4ecbZrd0/ef7eLTAsVeu+zu7OT20/frbGT27Ux2clNnuRXbUDq1Scfk5V7Bsuf7BbMuN6dIqIJQ7Vn2Un1PWAP917QveoCJfxI6K2TSORXysed4M0Zl7/0nLvucWB7dySoM0R+fli1yrS4RG1ou2bNIy4F02pxkr5DGM2/TkjR+0N8xTkxpk/efdu67bqdY6e8654Z1v0oZz5hz13sgVBAoEmYxHDJzIrfv2sUVjy8EmcdAfrtV18mC2qqN/kVSzEVbwkmerXd1eVFbgM7HGhP3r/AHSGaNJLQUuHuuekGU70pjJTiUFxyC73k+69nnOLwzw3Fofao5+szD9yXZ/r5Rp7gQXmaMeHC2HtN9XXNuUOKNTGtBVuqy5HHHx2LV2VQeeZMvsK1+4RsxBn17Hz3tVdcv0PlVlhddT9++clHLrzqU/a6b+IChwa1gxcfWWLnHHNk7H6WX7VLneCS26R7Ylv8IeznqM30aNUsrg0sDgVZ+bXJwjLwaZ999OGxxWS3XXWJS1f3h9zDohX6X+1dZVAbFAOp41rv5PpjYplbhGL4fthvE3O1CYWTyo+hf/bJr9qAr0t/T8tecSTe16u//Ny9m1XP8qM0rxszPM++pvrO+gxREAS250F87iW3uqws9oknSzUMhcw6KrYgu2b1zC1uH9/f83rfqR2rv6eFi3nx1ztTz0Q9G9XupfSeeefVl+OCrXz/XVsQvldkmZGRYaeGfWQ9E/RekZ0WT+57REdpC6SKU17d03pPK22fb5U1t76tz5D4aBe2FrF6O38tbP59uOJcdRy+TnqLxtHr7OG5jqWj/gqj1xjizhuuzTPIIV272/BJU61m7dq5+hN3zRPoKk/6bEWdevVd//Stl1+wUw/Zx+bfcI2cCq30GQyNERI/N7Ttjs1s6BXX5DoeK3RCkQA6xv+Cvj3t5kvHuTJY+KeyqY91XPjOldu8qVfbU2GfKzFfX6/8xL5a+bHVqV8/DFW8/yAIrFnL1nb1gsWmXa6aF1GM+tze+Scfb5VBkK5nifoZHcM5nmR9KvGQysuf70Orb6Z+gPxHlfobmgfSu13pSEmv52Vu44No+ES98qk41E+Sm9qI+k+y8/142UeVnnvJ+tYFzYP6RbrX5F/PeKUlpeegxm7qT0fTy0ufF8uoW7QfFR2jil1effX86sPnLZk/PQ98v7fnHju7Xd/ef/T6YtjP9vMwOlr9j99+jTrbC48stteeetw0r5Ps0yI/JPSxxVR9TrWV9eEc4aWDT3V9YI0l/u+P392nSUZefb3p2ac+pPqNcQlGDKoL1Ul0LCa9wqn/7ttPYnv19qN6dbPoWNDzUHnH9T/RlEefnN5tj997lyl+tQcpvcefX/JAngtw1J7Uz9Z9UdQxa2L+fZ6Ke1WZ9K6OjqNUds295TcGyu0+y28MW5bsi8uH8BCAAAQgUHgCGYUPUqFCkNlSJrBi6Ws2tFsH67rztnZq+31twoBTTINFDSR80pooaRwKMrr1O8PGz5znhOWLPvjSLrt9gXU8oY874joIAu89x1WCYr/TXDutjz11kGkXs4Ti9bfZ1s6+dJIlO6ZXHU9NdGgQe/lZp5lWe0uYrgR07N5Ljz0kbZ5KA2ENNDT4HN6jsz0XCjjVIZNa9sIz5uPLM5JiOmpy6qE759iU80c4AbImfR6JHAOnyYHjBw3JVRCtzr0GKD3bNHc7/j8MhWnKv7L1zAP32QdvLpW21JWE2zeMG+12BgRB1mD//ltnmIRVyQaqPkMaJKgeZ026zFu5HRaHH9fL1DaGd+9kD86Z6dx+/fknU73OvGK8aSB08v6tbcARB1jiNwqd5+yf4vJRJ3vB9KmxyRNFe8LgodZs91bSximVRQPf3nvt5j5tIEHfv//+6/zokwYSAq35+ktnTvajydU/fv3FOWniRnl3hnx+ChtO7V7Cn7O6HGanHbqfKc+rv/zcpaIy3D9zhkmg7Syyf95/8w07s1N7x1/3vOr72cULbfr4800DDtWFBpCyzw6S76V+o23snKuus7kvv2Wdep/ijvdUupokkyD9sQV3lqggLt8MpaiH39b+ZFcMOcMuCoXleib7NqX7XM9i8b//1ulxbbQ0iqJniwbcegeoPfs0VOeyk9vKFe9660Jff//lF3t/2Rtu4kGfEkkWwSfvvW2/rV1rO7VsY5vW2SKZl6R2YqV2fkoo7BeraP71nNf7Q3zVhvO678R/6DEdY89VtVcttvL3T9LEsy2V78vPOt38u0Zhs53cRQsZFs+9zU4P78kXH13i7HL7+fS9d028tVAns0pV981R3ZeacL96xFl29ciz3MRKYnh95++cUGgrwYLqzbtrZ6T46HmbV1n07NB9r/tdcUT9irHaiBZuDTzyICtOW/D5WvPNV3b20Ue4I4AVv+xVX5oIGnBEO/duUJ5kX1Cld+zQbkfaxaf3sffeeDXu1AuVZ/4N11rfdnuYJmCSxa183DD2PLeQSO1GZqWtq+7HQWHZ9ez6d33Ws19uUaUJvHGnnmSXDu5vmgT097P8qF2qP6CyqYzJ0pc/qZfCNnLaofuG+bzN/HtD9moDN447z0b2PDpX4W5xGSid4irxkjCl30FtXRnUBn2cv/+y1vXH9H5XG0/koPfjJYP6uXtJzNUmfFjP8PTD9nOLw5SOd0u8Kl4JqLQoLNpXUhzTLz7fpk+4wLUP3Y9nHNbONFnn41Oa2h2qtv7pincSo3bmn7771n2Som7DraxxLp+kcB75SXsC6s8umnVzrJx6XkvIvOVWW8fsEjVqn3qmXnhKL+uZSx9/7rUT8333q81KUK5+lZ57/rml/p76j2rLiWlrjKXFq3rW65moZ6P3o2fMLZdfZL+H72zZSZBwz4wbzD+H2nfrYX/9+X+mz/To+aZydus/INdxjOLwSu/fAoxpvPe4q3gVtm8bjeCBXHZhS3he0PxH4yuOXnV23803msY9Ph4tMN+/QydvLJGr2oD6ML7ukkXact927rNq1TfeOJlzzE4Cm+cWL4qZtftc7VvPWB09rnsgCDLce0/vVwnGTj9sf1MbmzE+61kbCxzRqE1MDvs0iXls2Hh7u/jWO5zQKuI9T63augSa/Q7ey6WrZ7/iTwy0MuzLDg3nP7TLXP3OP//vv86LFoqrfap+nEUuP0EQWJeTT006f5FLkHytgyCw7Xba2S6dfZdFT/KKCtJfeeKRPAVi+SZSCT3ouaF+hvobmgdSG/EYpNfzUuODyecOKdV5IfVldC8k61v7PGgsqD6kz1/0qn6RFnXoXpP/aBvV81vjtH4H7ZXnnEk0voLq1/3zj2keR/eSngFaNLPJprUdK/Vjz+pyqJujK2h8BfGnORjNxcivnpF6VkbLK/vvvvnabpt4qZuXkoD85BFj4hbaqM+p+R35PWXkmLh5HQmOH5h9i/U7sK3rn/pnj9JQPamfP2/KZPvy4w8U3J2suVGNTZx+hxa72d7tj3ALaV98ZImzS/zRvJXqQnWifHp36dX3VD3+uGa1t871+t3XWWMkjd98HvXOff2ZJ13/WGMMtZeLTzvZ9NxS/D4yvccvP/t0u/GiMUk3DJXkmNWnWVJXjWUHdzzYLWpVGVVmxa2r5t40BhrS9QiLllfuutdLagxbmuyVVxQEIAABCJQ9gYyyT5IUC04gtX1qVaO+uxY9Oi4xx0EQWN9zL3DC8v7njbU9DjzEaodCjSDIXWAejUMdGQlHf/pujbNu3627/fT9GtMuZk0u9R811gngnWPkR0JvdTw1KFdnNuLktBpg7nNoB6fP7eeHb1fbpYP6mwYaGnxG/Wmn/ODxV1pmZpWodYnp1THXIPeMw/d3A3jtOHtk/lwnRD/3hG7mO81ioA6/mCYmLnZaBa/OvQYoie4ytz34UMtNECX34irlQRPxGuypo6pTChSn7B+9646w4/pVrE3IPvna9FYAABAASURBVFFpoHXuCV1NAlvvpjKfErap/4WC57H9ToytKtbg7+yjDzftgL4nnFRa/tLzpsUHikOTe9rp5ePQVXkoCT4vPPSARe8BTWBJ2Ks0ompNOIiRwEIs1Cb1Taw+w0aZPkfg/a3752/756+/vTHuqsHUMw/cH7PTSvU1ofAoZpGLprDhNBlw7aihTvijCaLEaIMgCIXZfU2fXfBuGpyoLjRIld3br7xkg486xE2OPjD7VtMEr+pCwqhF4YBTfgqjNt+yng26+HKb9/p74YRTf1MbkHBR3xDTymUJozTJV5g408mvBusS3HTu08/mvfqOPfTpt7ZwxRem3UBa5a6y3j19atxq8+GTpjh/7bsdJ2eTAEcLFRRWbmI++/mlbvGC3ORJfuUupVNAZBdVWryiet770CPslqdetiWfrLYFyz+yvuGkhOpMblcOHZCr0C4aVzL9t1994cqgSdf6jbbN4UX3tCYv5aBvSwZBwd8zC2fe5IRpGlzreL5Jdz9gD3z4lSvD7S8tN7FVvFooIgGDJlZkTlTRSQrvtn3znW3LrRt5Y9Kr2q+E2hLEycNRJ/Y1pSuG4q161U5EcdTzI6+jP8V54jkDre0hh9vdb34YxvOmU3e+viK0O0zRmxagPb3wHqf3P3rnXTLoFNP7Tu1Gi9Pue2elayfzwnbV44wz3fNW7yIfJvH60qMP2cRzBrkdyPoWqo5NVVtUGeYvfd/6jjzftJty9Zef24X9epkmORLjKKhZzG6acKFlZmbYlfPud/W1+KNv3OSx0lZdzggFnNr9UtA4vwsn1MaFwms9+5TP3kNHxt1TE2670xS36kATMHqPReNWG9Sk2UPzZjvr6L0gDiOuvt6qb1zDtGPTv8edx+wfhZfAa+lzT7nnnO6dBeE9JH5qj1qEqJNXVLZbL7/Y3Q/ZQXNc9N7Xe0JtSfWnOHSVWZ71btCxsurLyexVURnssOtudv+7n9mURY+5RS6KT+9qpSt7ucuuIEocdE/OmXyl877nQe3txoeeNtWvlAQE6ofJUe9Uf9/LrMlALbJ65YlHZbSOvU42nXSke0kMpzzweOwITt2vt111aa4CRu0+umPKJIvWg05G0SdaFLnqf/7119p1o4fbEcefGGsrausHdTlGXpzQUMLD9evXOXP0x3+SYscWLa32FnWjTugrEQG19+hYR0Xv3Ke/JXvPyk1KfdvhPTqZFsjpeSG7ZKpqtWqhgGB9Midnp/7rGYe1M90z6lc5y8hP1WrVLCMzM2Jjrs+rBVrKsxzUHxxy+WTXP5NZSs+ef//NSldpvBi+G2Sv51ezVm3s+gtHucUn/UZdaBI+6/7Qs1r9d/VD5TeqxKg4fXbFWdi+bTT9D9960+684dqoldMr/8eeNsiCIHALOpVH7ebs0qyR+fe581ion/w9vxP2s5WW9ykB0EnnnGsaW3i7kri+89rLcSds+TiVXq+zhpuEYaeOuShO8OT9RK+q34UzZ8QL/A8+zNR/1zPc+9W8ghbx6f365P13m3Zqq0/z4O0zbcXS17232FXvYgmZ1G+JWYYaCc8vm3N3THj+9cpPTQL5Tjs2NC040Xsi9Bb3L4HQRaedZNpF+O2XX7gx5NeffuIEfVGPeneO6XOcc5e98vfXf/9r6hfedMnY8H5LvjhOfr3aMxx/73lge28s8atOYfInebXr2NnFL0bjz+hr2hTwCoJ0x6QgP+pf+DYa7dOpT6GxjhaQKJ6nwj71UwsXSFsgpT61+kfqJymA+t3qP8lOfdro5pAXQ0Hr+NP7uL61/CX2zzuH4z/FobHglDHD3bNVZq/U3vWM19xIRkaGaTyh/qDSUj9ffRzZaxw/eeTZri37sMW9PjDnFnvh4Qft8rn32F3hOECfa9R17IxZpo0xelfcctlFJZqm8qy5GM3JSP/k/QvsjWeektYpPTfuuG6irfp8pTNL2C6huzNk/2gRqoTIOt3hwM7dsm3N9Rfvu3W6Tc9e1HNQ6KYyPRSOvcVUY2X10e+8frLpnlPAHXdrqYtTmeHcoY9PJ3Pq3eQcsn+0kEjjTNWF6nr4pKluTO/bmz5x9+7rr5jmV7KDJL388euvpj5+9Y03tusffML1n9UHVttRXUugPvPK8e5TEhL0a3wjd/WxNdbQM14R6xmtd7j0Xmn8VVJjVh9nSV01hrn4jJMde/FTef04Sn1zPwZS3d540Wj33vZpl9QYtjTZ+7xyhQAEIACBsieAAL3smadNiurYS4gsIaw6ZzkKFlpowkO7gXX0ZqemW5mO99HR09pBpU6rOrCht1z/NUGkXRHyoE5Qk51buEkXmYdccY3tm3Dcn9LTpPH54cBWHU/5S6Y++2CF3TVtStIVlfIvAbzfTStzVGmQoolcDah6tGpqr2RP0kb9FFWv/CttDW41yPUd72h8P3//XcyoXdh7HHRIzOw14jpvytXhZMFZOQZR3o+uErzlJQyRn6IoLQB4fskDpuP4Tjt0P9Mk9S8//eii0qkBtzz5kunY/mETp1ir/Q7IMTmnI1u1ElarvRM77RLAtG1/mEUHPi7iPH60O+D3X9bGfJQUH02a3HfL9Fi8KtvAcZflmMCSkGj0Sd1jq7o12L7lyZetx4CzwsmhDd+/a7pbq6QLQt588TnTZE1im9YRabHEk2gKG05ta2wo1NI9lCQ6Z6U2ekfYtnQcpyz++O1XkyBHAzGZ81OfvPtW0p2v+YWTe63am9mAsZfavFCQrglLCbjUrhCkm/UNhdRi44Uw+i5i+249rN+5Fwqdm7TUAgZnKMUfCbpGXnOjOyUiCAI3qXrcwLNN97qS1TNNQifpvdK7RJNFmnyQ2qv94d4p7vrRO8vd5JEW/Wyy6aZxbjL8tvZn0yS3jhDdYZfdZFUg9cHypaFA80rnV/fmpeGk685t2praVxAEboJYbDVRLk+fvveO3XXjdW4SReao0v0h4ZqEbJqE0ITE3od2yHeXUXSSumMo8Bsw7hKXbhAELnrVa6+zhtlxA4c4syZqv8je2eAsIj+a+N2u+S52WjipvfEmNWMu4nJKKMD2kyISVvz9118xd9WL6kcTK2Onz7IOPXuHwt6NnbvS17PXM3CWCT96bmtCSRNHmrzWZJm+iaq2KK+6f48Ln3mjrptuSkPPm1vDyRtNxMi9sEr3/i8//2TjZ95pLfbax9VXRmamtdr/QNMJN3oeKy+zJ11WoIk5TfDfdtUlbkJN+VM+e4UCApVdeVM52hxwsJsEVPlkp5NRvvj4Q2mdUlvS+04GTVqPueGW2L2g8Id07e4E/OrPyE+i+i1sw5pQk/0+h3e0Y08f5O4hmdUetQjxrEsnOmGN3gfPPHCfnHJV6q8MHHep+TLoOujiy63n4HNcGKWl4ymdIfwpCQZhNMX+V9/Pc9Q9ee6106xxs+aWkZnplOp4zPW3OEG96njhbTeZb8sSvGuSWJlQex08/gr3Xg2CwLWRHXZpYbrHFa/8LArDqj8nfaLS0bsnhKz0rq5Rs5Zzrt9oG1Ocuo90v0t4s8+hR9gZYyfEOKutDwi5NwnTUqB3X3/Vfv7+e2nj1PLsT1K02v8AywwnVeMcMVQaAnqnPHLX3Fh59Q7R4p0gyHr+xxxCjZ6X2s2n/nH0VITQKce/+tc6/StZ21I/eP4N15h20a7+8vMcYb2F3sd6dnmz+pU6Flr9X9lJWHDr06+YvtOu94fspHbbZz+rGfbZdI9oHKcForJvsM22YZ9xvKnPqPtTfTlNeOt0EwkNNGZ8atE98hpTymtxxjQ/h+OmwvZtY4mHGr1vJXxXnkNj7P/Es0dY136nO3PW2O0gN+4ST+V5+sUXmN6LzkMJ/vwavidmX315nKC280n9bPvmu5ZgKmZqa3q2qg6jEev9OPTyyaEQboRpoeX2YX8j6m5JDK8//aTpNAPvpOfnVts3sTumTPJWeV71nP9w+bIcfvRJs8RxrN7942bMdsJzf1KCThx5MhTIKx4tONF7IhqZxjI6re7tV16MWlv30we73aPeUn3MxPFY6/0Psk1q13YCrWh/wIdJvOrdM+Syq3OMFRP9lYRZ76vRU2829UkPO/Z4F6XuU80xaK7hFQTpjkleP68+9Zi71zaru6Vb9N5w2+1cHywIAte/00lpslMc+ozG79knb8hcEmrtjz/Y3GuvcnnQfXPFHffl6J9HxyhaIBs96UF5ePbB+235S89La+rL9wrHE7WzF+1pDk99nD7DznPuasNaEO0MJfDzXtj/UXvffZ/9HTdFGQSB7dX+iLAcJ8roFoNqbs4ZSuhHi4m0OEGLtnTfR8cC4uPnOtRX79L31LhU9ex7+fFHnN0hR3eP9cNlISGrNvJIr770sElTzC/oFNOzLrkqtlhZfjKrVLFtd2wmbUzp5A3tSNe9+Hv2yYJyVB/89slXmjYOaXHBhNvmm8byegcHQVZ7O2/qjNjn7RQmN7Xy/fdM74oLp91m2++8q+s7axyhxZ4dTzzZBdOnVl4OnwHqT2t8I/eMzEy3ucVv8NC7++2XX3T+/U9Jjll9nCVx1btKm25Wfb7S9J4aMen6sI31jtVfrbBPckbYV/fPwteffsLeW/qaS1rv6pIaw5Yme5dZfiAAAQhAoFwIZJRLqiSaNgS0E/CiW+a6XW6abI8WrM0Bh4SdvuPCgecOpt2McvslFKK+EnZItaP61Pb7Wtfm25q+w/P+steTHin2wkMPOsGPwlbfaGN31JImMNT5P/SY42IdcblLqVN73XnnuEGGzF6p81q1WjVvdNdlLzxjv/38s9P7H3W81KGWAF6T095e16a7tbTpjz5nA0MB6fKXXjB1ntevW2f3z5xeZIGg4vVKK1CnXTTGku14lx91BHX1ShMEx4fCFHV2vZ2uKoMmBpJNSsivOuTy59Ubzz6VY3W9dyvKVRNVF/TtaTr2SZNIiXG0O7Jz3O5luWsH3BcffeCEUjqur99BbU31ILeo0mTbMf0HmATHT0d2Y0f9JNOrnW5SK0vgVlJ8FI8+JaCVwkpT9dM/yYkImhjUSlgJteRPEyfalVmnXn17auG99sj822Xtvq/Ve2j87hGloYHwuH4nOma6p5zn7B/tapefbGPsIrvChtPkkVanv/v6K7F4vEZCuCDYMJGre9APptR+koXxYROv2zbdyXQvJ9oXxlwrHAD1P2+szV+6wrSLX4NkPVskSO+1VwvXdtat+6cwUVZov5rU0eR1EGyoI1+gXfbcyzRIl/nLiKBP5pJWerb0PPMck0A8Me59Dj/SCTll/9yShbb2h5zCJLnlpjSp8OYLzznnlvse4K6JP199+rF9Ew6aJWjbomHDROekZt0rfnJf+e8VToh7QVk0QBAE1qVPf9MEg+xfeHix6f6TPqo0uSXhmiYtMzIznf9u/c6Iekmq15Fym29Z3zTR0+H4Ey0ziTAtCALT7he1d0Wy6vPPdEmqDj762KSTs/W23sZ23HU3F+arlZ/Yf3/71elVH6o7sUjeAAAQAElEQVQXGSS4lfBD+qgKgsCOPOEk963NqL3XayLix+wjBTU5pwki7xa97ntER/OTN8uef9Y+ff/dqHOh9N1OOcMJRxMD1du6kclN9poMzE/QJH/aafbGc09La/t1OMr2OvRwp0/8UbkklA6CwPVP1E+Rn8S21DWsd71z5RZVTXdvZYd17xm1iunX/fNPrD9RtVq1cAIoM+bmNbu0aWtbN9nB6tRrYP/7919TGO8Wvcq9W78BlpEZH0cQZNWjn/B94t67nKBEYYvLQHGUhJJQX30w9d16Dh4am/yKxq1jMLWAU7tfq1XfyCQoibZj9dm0yDAIcj4XdY+fceEE997VxKp22OgZE41f+tyerVuG7Wv75jvLiymPSiexrvWe2mWPts7P77+uzfHM0yS7/yRF0xYtnT9+Kh8B9VUWzJjqFoep9HqH9B89Lmmb1ztHJxnpdC35TVQ6HePInidZ1WrVnJOE3c88kHORjfp7Vw0dGFs45jwn+Wm1/4F2cNfuMRcJDy878zQn/JZlh569bcgVV7t3zX03TzMtyJF9w8bbW/fTBrsxmvL88mNZggi5KQ59C9YLn/VpEgnktatX7lJ//PqrLk7puVqcMY3KWpS+rUs8/FH62umn90hojP0fc+pAO37wEFv39z/mx26rExYi6H34dfiejQUqIc0LCSdfSTjT5eT+jncJJeGiUXk+SCK07hz2hfYN3+NBEOR4v1iSP42Dbrn8YtOz1jvvF4bXfIB2n3q7vK5BENj2CYJ6jb/8J958WAmyLrjhVmu0w44m4VD0pATvR9f33ng1NvZVHc+9dqJ5AaPcpdS+u0QEa2q7F4TjW42B5C6lMd0p554vrXXs1ced2nT7S8tD/cnOTj/NW+1hWpA37qY5Jjct4NK7RW5lpdQnlaBXJ01pZ67GrBLeSZCuhe5aUC8OZZWfipTOH7/+5rKbkZFpGic4Q+RHbU59ZvVFNNegOY2Ic7G1eq76589xA86KO0rcRx4E8WMUndigZ5/clR8dSy29FvWpvxIEgYwxFQSBHdDpaLfopF7Yv/l97dqk83KxAIXQaPe1+r2JQYIgsLYHH+as1fY+/2CF05fkj56NXhAshlrEo+fGzCsnuGT0rup/3jhL7L9pEafmNnSf7nnwhpMioosZdt1zbzv2tIE5wlarXt06HN/bxa+f2nXqhuOUbaSNqdp1tjAtBP/91/i+YVwfPHxGNm/dJhbGa5RXvX/UV/B2uV0P7NQ1TLtRnHMQBNam3cExuz0ObG/qT8cssjU77d7aatau7Uxfr9yw2UMWJT1mVZwloX767lt7+fGHXVRaoJFsHCd+ugf0GYGttmtiv/z4g/Nf0mPY0mLvMssPBCAAAQiUCwEE6OWCPf0SffWJx0yrwH3JNDEy7ubZNnzSFLvp8RfcgFI7Cxe8+aHb+dPxhD6xicvXs7/DM6z7Uabjvn0c6vi/8dxT3ui+uaxJF3Uau/Y7PcdEgQa2144eFjdAV2AddXTRzbebFyLJTkrC7+hgXnbJBPASHp577TSbfM8SkyA2MR33HdP//U/Bi6x+Cwcq+l6nvm8bjSQjI8PaHdXFrl7woF029x6LDtx6DxmZo1OssCrDrImXShunOvfpZyOvuTEcEMUfI6pJ4/9Z8fIfTUjHLyZOQkTddTRej1bNrGOT+jF1bIsmNvDIg0w7Kr5OMtmkOlAdHnvaIDdZ8+5rr9i6f/6ORpurXgKpPsPOcxN88lRSfN574zW3s15xSnUIJy33PuwIaWNKE6Pzb7zWVoVCPVlq0YOOuZSA8YHZt5hf7KHO/NArJscNijWYfOK+u+3KIWfYVtttbzqKcJ/D4z87oMk5/909xS9VlHDKp3Y0JdabuI+cfIO1P6aHKV7F79W6dVnt6I3IkWjeLberBrJ+UjU3P4WxV/56Dj7H5r++wiQMkVlClLnXXmW//vRTYaKq0H51VOOm4WA8WSH8IF1uf2RPAklfGmr3ffazJrnsgFKb1yBd6a764nMn6Ja+oEqT7CuWvmaazGjcbKekwbSYQ8917R5Xekk9JVhqx69fDKKJiia77JrgY4NRkyLaQSwb3XufrnhH2jgl4XS9UEgdZ1kAg55tt7/0ps1/Y4XlddT1+gIsDNG7rlGTHZOmqp0mdULBqxzFyr8DtfBA9SL7VnnshpXgUe9U+Ysq7f5949knnZUEzGoLzpDkJwgC08SCBI96jnv+SbzmaaW2EJ3YSvSskwr8Tu/l2Tt9E/1Eze+F7ctPjB98dHfTcznqHtU3CyeWfD0tf+l5U9/kj1Do82G2sEFtqXGz5tEgMX0QbCh/zDJbU6VqVfNt97nFC+3BObea+kLZzu6iHS4zHn0+nIh/0+0kUhjnkPCj94UmQhOsnXGL+g3MC3e1U+Kn79c4++IycJEU80dt6d3XXnaxbBUK4nLjqEUmo6febHe+/p6df8MtpmfdZx++HzvVZb8OnaxW7c1cPMl+tAih5b7tnNO7r7+adId4Xs9WFzD80QJRCS5DbY5/f6/lcAgtvvj4AxN79SvrJ/kkReiF/0pA4LnFi9wnNXxRTxg8NK4v6O0lYB7S9YjYSUbeXuME7QLXAt8r5t1nOnHpn7839I//s/HG3qu76nlyXThW0iIwZ5H9o2dltL1KsKBdg/55pHDaweefkRIe9D9vrP27br3dduUlsZ3E6nOPCsdMeg8oak20630pvVcaxx0/eIgpn9eNGR7rI1v4FwRB3DuwOH324vRtw6y4/8S+viyV/74jx9jKFe+5zxUljt3kR0rvuI1q1JC2xJQWJGic5SMMgsB6n3Oue/55u5K6Rt8HPk71448fNCTHGNy7J17VbrS41Y+D5K42cki3HqZP4shcEHVkOG+w+777x7yqbtUef/ou690lh7oNGtq4UEi99fY7uG8uj+rVLXbMutyjSsKnqv+p5qxUx0vumO30/qdl+G5Q+/b9AN1/WvDv27/86R7QGEn9IvnTe1Xvg9VffmFalCU/GvedG94P6vPs1f5wq1OvfoHZKXwRVJ5BlD+dQhM9yWv1l5/bvTffYInjyTwjqkSONWrVdKXVc+zmy8a5xbOJY+KzL53k+iJaHKF26AKUwI/maF567GEXk4SZe7ePn2dwDtk/GqPstvd+zvTlxx+5fMrww6pVpuew9Or31cqlX6R+yKzn3nCfvDlu4NluvkVhiqsaN90p6YIwxat+m9490vt5BelLUh3Q6WjTLnPFed8t0+yywae6Hd56d+pULv+ukrtX/sQznVikxc3eXieNfPHxh+4ePvqU03It11Zh31X1pXCNmuxgWlghfX5KfUL/jDmwczfLTLKYWnFE+68y56Z2aplTAJ/oV4tNk6VTo1Ytq75xjUTvzlySY1YXYQn9fPnJx6b5AkXX5sCDcx3H7bLHXnb3sg/cHPVBXY4xjTtKegxbWuxVNhQEIAABCJQPgYzySZZU04mAVnJOu3hMTHDdoWdvtypfg8nEctaotak7svvMS64KBxrv2snDR8e86KhufXtUK9VluToUsvgOv8xSHXudHE4Yj8nRIdIAQ99W851O+VWH/NxQYDz6+ptMghXtZpK9V/UbbWMbbbKJN9qnoTAkUQAvofOcF5fZQWEnNiMz05Q37WSIpqNBtgQWsYgKqdHkgo6NW/b8M7GQYtd76Eh3VPXoKTeFA+4GNmXMiJjQuNX+B9o+hx8Z8+81iuuecBDshSKy10BOR+meMvIC88fXyd6r+qGwp7g7gn1cuvodjdIXXW0I6eug7SGHuQGLXGqEnXpdvdqxxe7Wb9SFNu3hZ0zCcm+viYuJ8xeZ3GVXUnzUDjQhJOGP4tXgo8/w8ywzYaDzwZvL7Il775YXp7ToQRNqWiwxY8KF7p7RxPukBQ/afkcc5fzoR0fg33vzjaZj7CUM1HHEGuBt2XBrOcdUrc3qmI718hZFDaeJoWg+FZ92umpCVsd+PfvgQlnFqUbZAjo/sSBHDUY1eNf9LQHP4T1OkLVTmmjy5XAW/JQYgS0bNooJ3Uos0iJEJIGiJnByC7rdTjs7JwluNQHhDAX8+fzDD0IB13eWOJnhg2uHhQTsQRCY2qC3z+/6y48/2s8/ZH0WQztyvbAgt3BbbdckthhnVZId4PW2bhROOGycW/AC22swv+rzlW4l/dxrJ5o+fXJc651seI/OpqMF84pIuxo0KZWXn0Q3PdNUL0EQmJ5Jie5RswR+UbP0f/73j9hknTjWqLmprHNVWmRQu05d5/51ws4GZ1mAH6WjHT+5edVktoTscld/Qkylz035Exr0PtfzNjd/stc7SG1B+u9WfR0K0P+w339daz98u1pW7ljPvNpStPwuQPZPrc02ty4n93cmvcd1nGCPlk1NJ7NogZme1RIcOA/5/GjXWxAESX0FQWCNswX8a3/43laHE/7yWFwGiqO4Su1bu3wUjyb7q/2nurQFUqtDQYCf2PbPm9wC6n2t54ncVXfiIH1U1anXoNgnpkTji+pXLH3ddM9poYfu2agb+spBQAtyp118fqywmuSP7nj1DvKXeGy0xgmaxJYgbPikKeE4ob7rM+oZ4cNJ2Jm44OnRu+6wROG5+nn6Rurg8VeY+nGNwgl/fwS2j0uf/NBiIZm1mLdPOH77cc23NqxHJ7t/5gxZm5451y18NNbnluWHb8Ufux0dx70cCoa0u1L+vNKile2yn03F7bOLRVH7tsqP0p9z9eWxsZfslH+NM566/x4bEb6P9cwRM+3qnf3CMtPnaDIys079UJ/IP2cVtrhKzzYdqe5PtFJ8+x/ZySSYlb6klX8fROPtMeCsAgvr9a5KtjhXu2glVIu+I2uE8wM6WW5cKADXd6AbhgIon64W5Q8Yd0nc2F8LK6LtWO/OC6bdZrU2r2MXnXZSKBC+0QVXW75w+m2m7zzvc9iGcbO46R2g981dN14bV8car3jBuCJRO7rwlBMsOo/QMMzfiKuvN9/HkD8pfbJr8rlnu/iCIDB9Xkn9QrmhCkIg9fxo8Ybal3L2/JIH7JQD9zT1xyePPNv0XNRzQm6lof7v9z/CuaevXNSbbbGlbVqnjtPn9uP751rU6QWJv679yf77++8uSL2tGrlrWf7oXinL9BLT0rvy5BFj3GmYOq1OQmr56ZBk44PspT5+e7kupjkYP8+iMYQ+6yOHRuEcSIu2+0ibVNUI56m88HmbHZvmGBf+8euvpnFTYuAvP/nIWeU3DtGzy/dfXYAkPxqPJz6fkngrESuxWVXEMWuJZCA7EvXj9Z6UccuEOTPZ5aZUF1qcJneNLYs7hi1L9sozCgIQgAAEyoZARtkkQyrpSkBCixvGnmd+BXjLhBXbeZVbHdr2xxwXTvo0iHlT58vvOverP72jVvwnDqC926rPPrNlL2wQQNcIB+L6RtRBXY5xx7Qve/5p7zV2VafYD941gL79mqvMC8Y1ULp09l3ue8sbb1LThdEASUJT5dFZhD+aXFUZQm2R/x+acE7AKgAAEABJREFUN8f8pJQiEcOZz75mvc4a7nZPaXf65HOHxHZoBEFgOsbc511hvNIihI/eetMbTYOWiXc9YPru1JqvvzStso85Zmta7ndATDCdbVWsiwYk4l+cSNTx7NZ/gDu5YOC4y8zXgY/z0G7HmSY/ZD5zwpWmCTt9p251KASYe+1VsnYnHIy6dro7xs9ZhD8lwUcLRrQLwbcDlXXgRZe7ugqTyPoPf9evX2dL5t7mJlFCoxO6PXn/AuuzXyt75YlH3USQF/pLAC8/Uv/887fbOaHjxVq3O8gunD4rNkFTu84WpoUh8ie12177Wma20F4TVTOvusQKG07x6Nto68J0pZfq0LO3jbnhFpMASrtDo5NGcteArHH2LmC1U+VfE4gTbrvTrrjjXtMJE68/80RsB4baYbKJJsVVHKXd5vNvuMZ67rmzaUGCzGorvYeeG06ibV6cqAlbBAJin1ewaPvV5EFefhPdlr/0nLPaNZyw8JMZziL7x++wqNtwK9tmhx2zbfO//PXn/5kG/vKpdqprXkrtPAiyhJJ6byT6LUgciWG8WfE9MOdWO2nfltZ1521NnzmZMOAUmzf1atNRp7//stYyMrMm5n2Ykrp6wa+evTU3rZ1ntHXq1Y97DsnzusjR43UkdEzY9Sg/USWOGZlZXdC///7TtPgn6l4QvQufXRfJ/GvnZd0GDZ2TdlbpmewMufz8kX1Cg4SZaqu5eHPWQRBYZvazV0JQlf/3X34JJyl/M/3l1w4yMjLCuswqv/xHlY5+HDA2Xljw9cpP3CdOtANVn765dPCpsZ3W0bBRfX73o8+jJpvU9hS2uAwUR3HV33/9aV6AXpC2FE3vj3BSUma9J/OrQ/nLyMzUJRRkrze9e50h8qM6DoKs+z1iXWzt33/9ZX6XfW6fpCh2IkSQ0gS0+1Z9ST/u0P3YP8lRsno2Tx55Vmx8okJJKK5xQv/zxrq+p8Yn2lW+/KXn5eyUhNyDJ1wVJ+xUX87vjHWewh99C3RSOE7YarsmThB75+sr7IaHnjYdgR06u3/FryOBnSH8qbXZZmFfc7wNOOIAW7niXddHP/faaTbxrkVxJ2OpX6ojacMg7l99ywHZglCNHx+9+w5nH/3p1Luf1c7+Nu+Hy5dZccY0xenbKk8K/27ks0YSnmvh9w0XnmsaD6p8Wmw66/mlpl29eo/dcvlF7n2mscGAsZfmukNR8RdWffreO/bIXXNjwfSc63HGWW48EbMsQc0f2e9EH2WjJjtY6/0P9MY8r2Jz1w3X2SPzN+RXAbQYWosNNM4WM7VTLfS4+YkXbdjEKaajsG+beKn5MZbajE4r0JyBwkvp/XDn1Mmmd5fMikvjD40BzuzU3o2pxUaL6Kc9/Kztdcjhprb26pOPyrv7Jq4+0yLDO6+9bNEF7Bpbjrt5jmmcI3e170sGnhInPNf7+9TR49xx1/LjlRYiRj/ZtefBh1peO4Z9uLK8ar7mxnGjrdeeu7hFBqqnBts0tmNPG1xqi8XKsnylkZba5/iZ8+IWl+q5rVPiLj69j2mRoz4V8MoTj9i/69eXaBb+jvSHJFztucfOsdP7oif5eb3y4zPg7yH1TdVPlb3eM7pWNiWhqITovtxq8yecOdQys/vx3l7Xv8P+me4T6aOLaX/67lv7JHwGy77Z7q2sZi47+eWuZ5S4S68Tq3SNqh/WrDa569m1+Zb1Yk4/rF7t9AUZh2RkZvVfXYAkP0EQmJ5VVkp/GjeU15g1tyKpvyQ3Pf8LMgaQXymN4dQnkb4g4w5xzcjMGsMlG8MGQVCq7I0/CEAAAhAoFwJZT/5ySZpE04HAw6Hw1+8eUCfwjHDSt0bNWgUqmr75re+I/xh2IqMBNq+b1ZGMrnzXd2f7nDMq10mCLz7+wCRoVjxBENhZl1wVOwLxs8iRnnKX0oC97SGHSeuOkJt6wchwAP2sM2vS4+Jb7zDt8g6CrIlTDTCTraLXd0z9ynIN5DV54iIp4I/KvuSOWTHfEkSeN/Umk+BSluoIXtD3eHv7lRdldEo7GpJ1xpW+6kJXeVTnceTV18cG+MmO4lMnsXnrPd0khL6Z/dC82QpaLKVBhXa85zd5n5iIBqg6FlA7l+97+1M7bcxFbrVwoj+Zn7jvLreDRhMr+o6R7DRxcUv2N/YyQuHE0Msnx9qA3KW0UryofJ5edJ9dMrCfDTj8APvi4w8VnVPHDzzbVG/OEPnRKlhNkHorDTRUP9oxKcH5/KUrTEJ/Cay8H03+jDyui9vNo0mc0WFbqFm7tne2335Za4pHFqo7Tc5IL7sbx55nOpqsMOEUVhOq2l0hvZR2XmhSVpNVGkT6I63k5pUE9xJU/vV//2cX9j3BtDCh78jzTYsx5OfDt960O2+4Vlq3kEE7OaKDUNXBpyveiZXFeSzEjzjNDwXnvfZqYXMmX+niUXsbesU1Nu/Vd0wTwsp/IaLEawoT0CTD+8veMJ3esHObPZPm9JP33ja9A3Zs0TI2+Z7UYwlaRu/d4karZ/3Inkfb9IvPN+3qU3xqwzqKVCc5aGL5tmdft2vufSiH8Fp+K7KqVq26ZWRmVtgiqF3mdox6UQqVkZlpXU4+1ea++rbpkx/+BBUfl3amv/jIYht05EH24qNLvHW5XkuaQVkXJrNKplWtWq3MkvUTsRLS+MVoZZY4CZUrAfVfpl08xoZ37xQTyqnPekrYh4r2k5RJ9ZW0yFbfKpZZ/vS5mjHX3xwbJ6j/d8tlF7k+sfx41XvICNtlj7be6K7qJ6/55iun14/6onrGVM9e8BQEQSgUqG1698hdSvFrrLYyFJTLLPXTd2vsgzeXOoHS8ElTXb/roOyTuuQupTHetIvGmBa2yqwToaLjOL/oTW5eScix92EdnAD6mQfvt2tGnePGJ3Iv7JjmyfsW2OvPPKmgThWmb6sy33jRaFsw4wYXVj8Snnc/fZBpTPb4vXc5RupzXnDjTKtTr749t2SRO85d/WmNhy+48dYcYxDFU1SlBWA6mUr9bh+HFls12aWFN5b4tUrVKnFxalzsFzfEOSQYNGaW8PyOKZPiXCS8G3TR5W5BsQRM08L2oXodeuW1JmGH2vuSubNMYyUF1IJyPx6RWUrt6v5bp8fGYWIt4aba4/l9jnP3lMLd/MRLdlCXY+yXn360y848zS2y1btT44PTzx/v6k/pPbd4YayNaUx57rXTYosetJv8ksH97fvVq5R0THXu098Sd/1/9enHdmG/XjHBv+YZup9+pitrLGA5anTPSnCuRdz65IBYSIg4dsYs0+KFtqGwPwiCcsxhaietcf6Mx5+3S2bNtwOOOtq1n2iONS+g78nfGLZptf+oW3npi3IkennltbTTlXD0mQfuiyWz+svPTe8IPQNiltkaPWu16FZGzS3oKqWxqN7f0m/dZMc8N5/oftMpABonbrVdEwWJKaX58uMPu+dO46Y72SabbpjniXlKcc0P3662yjpmTayaij6GTSwPZghAAAIQyJ0AAvTc2eCSDwHtxL0vHMR6b43CzuSWDbfyxlyv6jjqG0KDjzrEnlp4T5w/TXC02Gsf16n89eefY24SGqsTGrOIaDTRsWjWLTGb1u0OilvxLXelGfMQalq3O9C2a7azPRN2psec1MNNBK3L3oGrCR4JgUNv7l9hH553uz129zxn9j9aMXrosce5DrQG9NeOGmpvPJdzp7v3n+z6ZeRbPXI/uu9pbjeJ9BJKDu9+VI7vHTZvvUfY2d5UXmJK6WsiQuXxlhLuN929lTfaH9k7s2IWoUbC1s22qBtOEl1v+ta2Jn5C62L9i9eykIMfZEj4M+u5N9ygc8z1t5hXl4SD0DkvvmkL3vzQHvr0W5v2yLPuSH/tesnIzF2Y8uIjS0yTAEcc18sGXHiJG8RqsHPn9ZNjExftOnax6PfIlSctEHj4zttjZSsMn1mTLrOJwwbZS489ZNGBsYTI+4STfUEQP+mghRSaYPshHGD4BHWs2tULHrQ7XnnbCc6jgzL5WfP1V3ZGKJxXvWsyTjvwo35UBj/g0iTqgLGXmD5D8Mdvv7rjnR+56w6r12gbK2g4panJofN6Hxub4AyCwLSIwS+CEVc/iJR/KaWtOv3pu+9sSLcj7ON337JDjz3enYoQBIFpkDrzyvFhe/tF3q1r2Kaj95PYaBJw/Oknx3YZOo8F+Pl17c9ud37PNjvHBOdakKBJzHmh4Fz5qla9egFiwkt5ENCEqZ/89YuECpKPb7/6wr785CPbqvH2pvdMYhjdG8tfzNqh3mr/AywzyY6CxDDerFX+/j5b9flKb53rVZOOSk8eqlSJn1yWXVGU7rM7rpsYe9Zrd+EtT71siz740n2fTe1bR5tqsVYQxD9ripJesjC+PlQ/qqdkfrxddCGPt9Mx25oAl1kLw/ROkj43JY7/rv/XOSdO0jvLEvj567//jU1819Gu+I02zjPWLRo0cO6aJMuPgdqA6k0BJDzWc/E/1TeKfVKjIG1JYfNStWpvZnrPXbfwUXvgw69iJ63omadwehdNv/gC+/arL2UstPJ5VP51HyiC4jJQHMVVhW1L0fQK044VTu8jXTMyMst0EUd+n6RQnlDpR0BCaO1UfHDOzLjCqa/eYu994+xk0O7txXM3+O0bCtm1uCYjM6uPrPGNhPGPJoxPJOzpcMJJbnyieKTWrfvHnggFv3rGy3xgp65hf/GMPNv9z99/ZzoOe8kds+2fv/9WMKda7X+gTX/0OdN7qn23HjmEhOrPjurVzXRc/E/ff+vC1G3Q0HQqiDOEPxvX3MR0TG2ojf2r/3jThAvt+D12tquGDrTMKlnllIfC9NkXzLg+FL4PsZ+//15BHYeC9m0V5oohZ9ji22+zNV9nPVslWD2k67E26oRu7j2thdZX3nmfqc/5x2+/2RVnnx6qM9wJJHp/T3v4GXfyl0s8/Pnk3bdjn/cIjUX6f3/ZUnvx0YdiYTUG7dynnytbzLKENRq3RKNstnvrqDGpXm1y+kXn2x0JwnMJukeFwmktEvkjHLeofn9Y862Nv3VubKGBdtj7cBJAnzRsVEyYrcS0SFI7bDXekVn1cP4Nt5pOCtB9oH6F3pkX3Xy7W9Tw2lOP22mH7ufGburnnTdlhklY7xeMrAnHXUuff0ZRuYXQur+qVKnqzLpXtVgiely+HLTIQyfiBcGGvthbr7xoZ3c53L4K+6nyI7X7PvtZ0xa7SxunxGfe1KvjFnfEeShhg/oH+hxY7312t8Vzb3OfDmvUZAfzgvO9D+2Q5zOghLNToaNT29Ack9qR+uda1HrmJVfZ9jvvGivXQ/Nm24vhPEXMopiaKlWrmj9xcL8OnezBj742zZkURPU440yXuvp36ufJsKoA4xz5q6AqabbVX48uzMnIzHqv3HnDNXEnnCQNHLHUKUXr162P2CTXKr3Xnn7cOeo5nTg3qvHsc4sXOfc9DmwfGzfIokatmrpYQcYhzmM5/Kxfv87Ke8yaW7ELOyJ0hcUAABAASURBVAbw8RR23KF3TWmPYX3euEIAAhCAQOoQyEidrJCTikZAAwStsPT5fn/Z6/bckgfczgFvF71qN+srTzxi5xxzpI3u3T0U2n0edTYNrk87/2I3WJbQ7sfIznSt4ozznG34IRRQanLnw7eWZduYO14uKmyXPgiCmLs02tHda69d7apzBpkG6Q0bbydrt7NPAmpnCH804aRvo/mBuQT58h86hRMnvdzuCw3ANVEkgakGxnIrqFq/bp1bLCD/yqdWqWpCV0csjujR2U3+a7JBu7PlR0qCAF298uk/Mn+uNdg2qxxya3vwYXETKzVq1ZJ1nNKR4j1aNjXtLqm/TWM74cxhce5FMWhg4BdWaOBw3MCz3S54DTolsPdKZnV0a9SKXwyQV5pqbzddOtY0kTZw3GWxSTtNMr4QGbDu37GzZWYL0XwdaoJL36Hy8ReGz4LpU32wuKu+L3bd6OGmySDv8M1nn9qw7kfZnKuviLsXtDO2ees9k05U6AjBAR0OMN/mtQNVu5P0eQTlX4MxHRX3UDiJqXQ0ybPvER3tv3/8bqN6HWP++ME1X33pdjXlF07xPbt4oZ3d9XD77eefYu1EAvgmkYkAMayeIHTSoEH3zcn7t7YvP/7ITTrpGP2MzKwB6Yo3XrN3X3tF2XT143fJy0JCtetGD7PZV19u/UePMy1AkH1+SvWuRRPRIwclRBp6xTU2+/ml4b14gksrv3gqhnvFzeVnH6yIPc+SlULustdEjp5r0hdE+c956GjPmqFQMTHMb2t/tg/fetOddrBLm7aJznmaN6lVO7aTT4vCNIGfVwDtdNdzPggCa7zTznl5LbCbniOvPf2E8y/Bx9mXX22apA2C+PeWPEiw6wUgMpeUUn2oXhSfryfpk6nVX36eo5432qRG+JxvZPoTxz9+y1pAI3Mypd1aP333rXPacbeW7lrYn1Wff27JFob5eNQ/+DkUAMmsd2gQ5OQpN6+8sED9je+++dpbJ72qzWmCXY6Ntt/BNq5Zy7SbuH6jbWXlPmujPo8zJPkRw5++W5PEJbmVJm61E73fqAvdM09CAvnUO0PHu0ufqD7/8P1Eq5hZ7wDvrr5XnXr1nVtxGbhIivkTbUti9Pdff+Ya40N3zrFjWmxvpx6yj6kPWph2/Pdff9mKpa+5uCXcU3/EGcrgZ/lLWQt+EidPyyBpkignAmpv6vsk7mZVdrR79tbLLopboPnOqy/b6JO6u4l0+WnWsrUdGRGKqz815fwR5oXnbQ8+1I1n5De6GFfm39autSvPHmAShMss1bhZc8vM7ifLHFV6Pnjh4/KXnrdmLdtEnU07fPWsCIL4Z6oPpwXSWpDbc/A5VrXaf1xY5Xf9P+ucXj+1NqtjyoP0Xul5rVM1tPip33ljTYuqvVvbQo5p6m7VKBxPZgkjCtO31Q7dV5541LZt2swlrbGZ+pvnn3y8G5PJUsc3L7ztJrdAQN9D1gJdvbtvWPKUnX/jre5dIH8azy2adbMN7dbB3nn1JVkVSWkc8OCcW8wv9FYkR/Y8yfUTpC8tpT5OEGyo4403yeKZW3p652pMrudy1I+er5fNudv0DpP9Q/Pm2Mfvvu2E5xoXyU5t57F77jTfv9HCW+3OlJvUV598bCOO6xTOHXwRG1vtFLbLB2bf4k7tkh8p1d0T999tGvMpL+qvacw09+W33M7hIMgqj8bOF53a237+4XsFc6fO1Qr7l8qHxkfDj8sagzvHyE+7o7qYyuOtXn78ETv/pB6mzwFFF4Tstvd+OcYlSlPzH3OvnWi6H3wcpXH9euWnplPT+h3U1jQ/oTS84Hzaw89aZRWcl1QfOggC06JWfbJs6gOPm4TqGRlZ06p+Qa+YF1dV37iGS8fCv68++SjPPm/oJem/+ne1Ntvcua2JnEDiLCI/ekfpnjlhz13swlNOcKd6RZxTUqv7SP3gvDKnjQl3TZvivGjx1xVz73XjRT1rNL/3aziGdI75/FStWi1uUVdu3nWfv/zYI87Zjw+cIfzRfNGM8Re4kzI0ztOJK6F19r+ZX6T053//cKdnxBwSNBJiq1wJ1mViTIUxa24FjY4BvluV+zju13DuS/0ULSzS51iq/qdamY9hcysD9hCAAAQgkLoEsnp6qZs/cpbCBCQ8i2ZPgjUJx07cezebev5Ie3rRvaZB6Mwrxjuh+TG7bmc63ipZh0+D0ejgOhqv9G+99IJp0CO9lCYTFL++v6djsnsMOEvWTumIOKfJ/qm31dbmBw7ZVm7gqk637HXMngS9ctPAWeVQ/Drue2i3I91OV7lpkNRklxZuAkP+Dz2mh8mPBJ8SGo+dMdv8N9XkvyCqXjjBU7N2bef1n3AyV/FdMqifqTOnPGiyYcJt863W5lkDH3nUhIy/PvPAfab0P3t/hY2aMt32OPAQObmFAH43oLMIf7berknY8Y/fMfn7L2vdhJ0G1ePC/KvjGXot8r869AtnznADA0Vy/MAhJTrBo8Gp6mHwhCvjJiYSj6fXIFN5kSBoRI/Org61M1vCe+VLRwYWhk+NmjUVLKnS9xHfePYpd4z4PTfdYAM7HOSONN//yM4xwbQCrv3xe+dHeq+0S1+DN+1q0UAucXJKK9nnTZlsk0cOMe0gyMjINB2Xeexpg0xCnquHn+W+Pynhio9T1/zCKb4rhwyw+ltvY+Nn3mlbb591vJjuw+gOoarVqoWTiDspyjilIxFlsXPrPe3ycCCqlbsyS73+zBMx4ZratIRpqgsdyajBihZt6PjEdh27xPFR2ESVbOeEJjKHIjhPRJUS5nfCCf81X284HjaaKU0a6AQH2TXctrHbTS59fiqr7WQJm1rvf1DSNiNh7Defr7Ttm+9sW27dKL8o49y1M0MT87LUDq9P33tX2qRKE7EvP/awc9Pij2122NHpi/vz+y+/mJ4FiqdRk6amSVzpE5XeT35XQ6Jbcc3b7rhTyG8XF43qSfXlDAk/UQZRJwli9j+yk7P6LhQ+v/Xyhs+OOMvIj8rhT9PQs7hpi6IJ0H8KBfBffPRBJOYNWqXxUlhXeq5q0ZsWX2xwTa5rHj7P6tRr4ByfXnSPezc6Q5IfCYfU7uS0a9t93A6SGrVqhYKm1rJy74AfVn/j9Ml+lr/4vGkBXaKbFlKcftj+dnybnWzpc08nOjuzBDqa/HaG8CdZPKG1vfLko5ZbPWqCb9kLWffV9s13Mf/pnOIyULrFVWpL+kyI4vkmvK89Z5mjSs+Gd155yfXntPBFCxgkkNNCR/l78ZHFltfE6OovPrMVy96Q13DSspXVDIUnzlDKP7rf3w/TVdtv3nqPUk6N6FOFgNqrFgfnlp+nH7jf7W7Wu8D1C3t1MwmUvX8JrWvUrOWMEohrrPDUwnssIxTaaEHpDrvu7sYnaleNmmx4N2nMNTQU4Eowrd3iur8UyUuPPZRjgl7PTY1nJgzoaxKkKC/abdu+W3cFianvw2eb/MYsQs0P3662Swf1d+E0+a88SZDv+9qfffC+fbXy49CnuT7ig3NuNQnpZaF7V7u5u4d920tDQes9b39i0m/bNKv/qTL5eORfKr8xzflTb7aG2YujC9u3PezY4227nbLeh3rn3XXjdTHBrtKWktD8ujHDrU69emE/+B675r6HwzA7x/oo4qE6mjHhQtv3iI7WNvuzYQpbWPXBm8vs5ccfjQWrE76n2h9zXMxcWprtmjWPjQ+UhtqDrolKjB4I61Njci24iLo3arKDXTLrrrhduurHa8zfPHzner9alPZ2pN/wY/h+V/vXWP3u6VNN4wfp+44YHXs3L33uKVO79nHoqvHJ9Recay8+ssS6nNzf5i9dYceFcwTVsz9ToDG0Hzuv/vJz+9+//yqYabGwxhxqwxofqe8gBwnMo4LxnUKhvex9PFcOHeB2dR/eo5f9HVnspQUm8ifl/Wq8rjmLE88eYfsc3kFOJap0T372wQrTYo/TD8vaea8EVAdjZ8yydBacR08ASpyfEgOvxMfrC3LVgid9GkBCZT2XxTgxXBAEbrFPnfpZ/cd1kYVCiX4La672n/+EczvtXTD1hdT3dIZcfh6cM9O6NGtkfQ/Yw9SflDf179TPk159D/VBpE9UP323xjQG0j1UPRTcb1xzk0QvZWqukb0bW8JO5S1Z4lqsq3mGZG6yUx949qTLTIueatTa1PoMO8922XMvO37g2XJ2ffWFM2+yaL3qHanngTxEd+xvVreu6dkle71X169fJ22cUjzaBPNj9iYgnU6gOpQn5UXzpP4Z2evs4XGLceRH9aR8Kp43X3g2Ll9y9+r7VatMC++8uSyvaj/+XRA3Zk3IhMpQWmPWhKRixq0abx/OOzZ25jfDMU6yOpLjN25s8Ylb7Kz+h54fZT2GVT5QEIAABCBQsQhkVKzskttUIrBF9nGniXlSx/vh+bfbxGGDTYPQe26+0e0OlGA60a/M7Tp2tusXPxU3uNZxVVs2bCRnp/RtqYtO7e2E8jOvnGAn7dPSxR+EE0djQ8HvfkccZX6A+/6y193qdHXctENMx70pTy6i7B91TiVQvfGhp90xe34HnCYBNNGkwYfCKbyCaNdXxxNPjn1j8MBOXU2TXePPONk0SJ7+yHO296FHxCZOFKYgSquXm+7WynlVfnUMuVbPy0I7tDXpUHPTTWO7HmT/6IJ5phX3Z3c9IraD/uKZd5gYbJe9I1ID/88+fN91vDVwXxpOxOsbcIkT7XXq1TeVTRM/Ojpd8RdHvb9sqT15/4Zj+R+5a26eE9iFTUvf3tMxjIkC44/fXh4Xlb6L3bnp1m7CRYMcTVb0HTnGmuzcwvkrLJ8zL5noJild4CQ/WiRyWjhZobYpZwm5Tzn3fFN+ZZZSHQwJ62zx3Flux9AFfXvaca2amQa7clc9jJ56U4509K3vJ++/2w3axt08x3bYpYXddMlY67VXi3BC7WHTpOqIydcXKpziU7jLbl/gJvwaZp9c8M1nK+2H1auVHSeUmDd1smlRgLOI/OzUqo1ddMtcu2r+wvC+qxFz0eRWdOJCbfqqoQNNdaEJnTVff2lDQuF3p5NOyfNeSbZzQoNWBOcx1Cmp0YSBJg5U74kZ1BGbHy5f5qwPPbZn3L3hLHP5WfvD96FQYbnb0dW4WdZkeqLXFUtfd8LIndu0Nb07Et3zM+8fvoO0mEq7u+ZNmWSa5EgMozI9EE4Q6z6W22FhGeqEk9jSF1dJiO8XzyRbaOPjf+nRh8yfQuHtSuqqPPhdzaonfe5CZU6MX0JZf+JFotvu++xv2+7YzFnr2SFBujMk/ETLsXf7I2y75jsn+CiYUfmTYCNZfem5/+DtM11E+mRLk+Ybjth0lkl+9D72EyiafH/1iceS+DJTuaZdfL57v6oNtOvYxfkLgsAO736CW8CmPof6PloI5xwjPzotYeGsmyM2G7Q1a9d2R7JLQPZY+K5PFl6+JeTSVYKlOuF7XPpEpXp89cmcZRC3RWH6ul+DILAOPXs82p3GAAAQAElEQVTHFqQVl0FiHopq1skldcL7S30W9XeScfjknbfdIgGlIYF73YZbWY2ateywUPglO7UBfXpH5ZU5qtRmJNjSpKoWWCQedx31W9L6b7M/SaG+oz+xoKTTIL7UI6B3016HHJ5rxtb987ddd94w67Nfa9cv1DtpxNXXu3efD6S2/NbLL5jGKXoO6/4fe9McO/joY+31Z55w3tS/vf2aK02nFl14Si/nV4LCPsNG2QlnD7M69es7fxLESOCpfusLDy92JwOdcXg7k90rTzzq+pRnXDjB+p17gWls4U8oUWAdbz6697GuL6s+rfq22rktobz656Oum2Hq51WtVs3dkwqj8k0adqbJ/1Vhv/CWyy+WtdVt0NAmzJxn6t9p13mr/Q5wC5LkqHR1VZkKO6bZocVu4UT6dgpuhe3bDrl8cmzXp4sg/NG4UWXSgoXQGPvXc2qHXXeL9Wk15nrmwftjHLUA4dxrp8U4xAIWUCMBwJK5t7nFET5Ih+NPtPqNtvHGUrtqDKP+mk9AO8f1bpJZbXHN11+Z3sEaj0y/+PzYQkDL/msX9q0m3b3YEseXWiyhBeLZ3tzlh29Xx411dXT6qe33dSeM6JS0LRo2dIJ4jT98f8kFDH+0i7N5q5yLkVq03deifpWGxsI6RUsLFU8bc1EYOutfp0P0O6itO+49y8ZM47Jd9tjLLVj2dg/Nm20P3TnH/Bhc8wZ9R4wxLfDQ+8r70+I+tQW9q7WQQmlqUbEWlkhwpvvE+y3uVXXx4fJlNrxHJzfuleBNcVYGwbnKKbVpnTq22RZbShsKRZeZxg7OEPlRe9X8VMQqX+3Gm2xiOu3tl59+dIsy9CxNFkgCXgl65bbNjk11KTHl+0OqZ/U91QdNFrn6lnPCZ7/6S/+pXj32CQEtujw0u1+k534yoabifm7xwthJeOoLS5CcLJ2ystsmezyh5//7y7IWO0bTVp71HfPceMh9STjn4gXWPU4f7E7NC4LAneay6557u+junnadLc/+DJgsJPBusG2WEFb3r+ykNt+yfmwh1BvPPmnqg8o+qjS+UXzeToJ4PQd0T+ozD3rXyk397gM6HS1tnNq6yQ62f4ejnN3D8+eGbTl+fksOqt+7p0+J1ZXsylJpvLjxJlkbS8przJpbeWtvUdcOOKqrc9b45/1wXtIZIj/i98idt7t3qvr/bbMXt5X1GDaSJbQQgAAEIFBBCGRUkHySzRQkIIGtJm+KmjUNgq+59yE7b8pNpknjxHiat4kfDGsyVEJ5CfQ0kNHAcPKCxabJFu1EaLHXPi6Ku6dPtZ577mLHt2luZ3Y+1L769BPTX/1ttrUZjz7vvh214M0PTQNn7SSX2y6h4EWTI9JHlSawLp19lx3Tf4BJGKzJ1iAI3KSRvv/TqfcpduW8+3NMtETjyEuvQY060UGQdaSc99ut3xk2dvqspFy+/fILmz7+ArfzOMpAYTWJs232gEM7lnu13dW6t9zRHcXlB3a7hgOGO15523G4/aXl1j0cUPiOsOIoqtIkwj03Xe86pD6OvULhSM1Na3tjqV1za4ea6IpOVhSVT7sjO9v+ocqtAFqhriOtmu7W0q5f8qS179bDtJtfk/rRMFoIcuO480wrkDX5qUUlamOXz73H1UPL/dqFwoyTokFierV5Hak28MiDbFEo/BDv3kNHmr71p5MPOvQsfDitulUCBxx1tJss1QTAwA4H2En7trTuu+/gvnEldyktQtB3ePXdtcn3LLG2Bx9qGZmZcoqpjMxMq1qtWswc1aiONNF7WDiID4Ig6hSn12RudOeEBOcjJ99gt7+83DTppnsmLgCGYhHwpw/8sHqVvf3qS04oGI1woxo1bMuGW5v+3lv6qq36fKW0SZXavL6xeOO40eYnrySounvaFJOdAmnhRsdefaSNKe0eHdWrm3VsUt8pDXq945effGy6t7RwRJMX3t5f//7rL3v3tZfd5PVue+/nrQt11TPztPMvNj0vNNGizyKsWPpabJeTyjJ9/PmmtqmIVYau/U6XtkSUdof4yWQJ6G++7KIYP028rP7yc5sx4UK7/KzT3E4nn6jfAeDNZlYs7YGdu7kFOYpEZVWZVXaZfT1eFQo+NCklu0SlCeQzL7nKCZBXhe1k5PFdTLvDVEfy6+II389aWKdnX8PG29spoXAmOkmXV1tQHFGld7rYqL602E2sNDGiCapx/U80va/1XtenSQry3AiCwE44a5hpIl75E+87plwdqwvFrfrREawqn9rLgLGXxAkymuzSwvSstPDvkXDyS+1ek7ZipvDaeX/Z4P4ub6GXHP9qB4cem7WzUDscLxt8qumodZVNnsXwwTkz7fbJV8ronsONd2ru9Ik/jZs1t6kXjDTdfwond9Wn8qR3iMxHhIKYvdofLq1TQVB8BprA0qcRFKF2mHqBi8xe6V1zcrs27n7vtut29sm7b3snd60fCodOOHOo03sO2mXkOaoeLjvzVLcrVO/QnmeeY5nZx1Efeszxdkj4DlZgtWMx8HUgjmor2lGme11+JFjcqWUbactE+U9SNG+9h2kiskwSJZGUIKD7TWOf3DLz5ScfmZ7r+x7e0a5f/KQd1OWYcDL4aNOfPiV0XOudTM8fPffqNmjoxh/qi33x8Qe28v335M2p15950iaPPNuWPveUSVCnRZ3HDxrq3uX7HHak86Mf9SvvuekG070kQejXK7PGSw22aWyXz73XtIM8IzPT9CxR/1lhvHr7lZdcX/bGsE8roYzsNSa5YclTJsFpEARWfeONrVnL1nJySvmWf51OJgv5vyRhd7LsvVKaej/LXJQxTXH6tnUbbqVkndKzfujlk00LChL72nqO6B2ko/S12OeUUAir96Tfhd//vLGuDlxERfjRJ6reeO7pWEi90/bPPu0lZlmKGvXX1OdREu+98aqdsOfO4RihlR290zam4+sleFablbtX6rfrSOvcxvfeX/Sq45GrVK0StYrp9V686s6FThCv8Wp0XKm8DZ84xQaNv9wdy+wD6R2uvob6MWpvk0acZX6Rh+K7OhzH7L5Pu6TjbMWh97jaf+IuT91b119wruk9In8Ssnc5+VT77IMN95/sZ026zDo13cr8ghQ/Burcp5/rr8pPSSj1r9RXOefYjrEdqbqvNHdRUXecawODHw/kdVUfQn0JcaxZezN3DL/0mvfR5y0S+wxjTurhThrQPSR/BVE1atay7qcNduMDpXVh3xPi+rXq1+n0rYnDBrn+iOaVNCb3cRekT9sw+6SMv/7v/0yCWfVTfHhd1R9SX1PPoVWRvrXilruuOo1E/Rr1e+Wvz7DRpr6Y3KX2ObRDTPird0O0X6j+od4vcyZfIa/On/w7Qzn+aPGK+nfKwsyrJtiT9y8wtXeZ1ZfVvT332ommPrvsEtVHb71p+s657DU/E10oqXrtM3y0SYCqZ4U2JkRPuvRHqeu9qh3XiiMIAtNCY7Uf1dWV5wx0zwH1S8VQTHUvKj75l9LzUc8BbSLQ+092+4fP79zeC+rHnnDmMGsYjo9UlxovRMdRmm+6MRxja3yhuMpDlfeYdcGM693YQc+Gq0dknSQQ5XBU775uMfe6f/4O5z975mg3M8ZfGPusxVEnnmy+/18SY9hoPspYT3IQgAAEIFAGBBCgFxPyV199ZfXq1ctV/fnnn8VMIXWDa6L4zAlXmSZnCppLdTo1IL35iRft6lD4rYmVIAiSBm978GGmQWAyxy4n97frFj7mBtNy1+S4OpyKX+bff1lrUtJLtW53kF1994OWuApeblJa5Xr8wPhOmAa5M5951Q3IdGzW04vuk1dTR3n9+nU26rrpNvCiy9wEkXMo4o8mr488oY8LnTVpdY+dOuai2I6wmpttZs2yd6k7T9k/7bsd544MjJZJnb/eQ891Az15++WnH91OYuml1PEfP3OeecGp7EpKffr+u7bs+Wdj0WmwIiFTECSv35jHEtDsdcjhsTL76LJY3muqxyDIykNR+Xz79Zemo9oVdxAESSc/tMtEgmXtKpM/DYK6nzE4bkJH9l5pgNslbMdqY7vvs7+zVpjTQ0Gejmh3Frn8iO30R5+zXmcNd+2kqOF89C323tcOP66XM2rg9+Oab2OCOt1bIyZNtYLsmNCqbbVnF1HkR/m9/sEnnLAnYp1U+/P33zt7TcCNzBaca3dVYZ4zLgJ+CkSgeZs93b2j59pVoXD0qB0amCaZdJqAItDJHk13byWtafGOdgRp0Hr/rdOdXfRn17b7WM9BQ2zJHbNMO5Lkr0fLpqaJRLUrLboaPfXmQu3EevuVF0152zWMW+0rmp70P333rX3y3jumye7iHKl+SNfuds5V17n3mSZGRxzXxR2DqDKoLBJaKr0u4T07dsbsQpVB4fJSuscGXXS5G/DLX5SfJl76H7y3WzRTfeMaJgG1JpXk7+uVn5reRdKXhNKE0rBwIlqTy4pPZVbZxaBHy6x6rFOvvnvuyD2ZUt60qEeTXpro0XGoXXfe1k12uDgmXuoWJkhANHH+QtOiiw3xFE5XNxQgSTAk4agWy4mVTo+RMEgLxpQHfaKlWXb7LUjstcJJ2AumzXQLCdRmtVDOM1DcWsSkSTD/folOlCr+IAhM7z29D2R+JBSiS8ig+0rhJww4xfSM637aILfQQH6iSs85Tay1OeAQZ62doIM6Huwm4n09TLt4jGOo++nMCRNdm3WeE34OOKqLtQ/7Cbr/xF7hVRa1L3nt1u8MG3DhJTnCF5eBuOuZrzQkcDm+zU6u/vWpE9kVVHU4vrfbASj/4nDqIfuY56h6UPtSWqOn3hS7d+RX99OZ46+M7USP1oHaiNqKFmRKECMhj963QRAoaKkr3a9vvvCcS6flvge4Kz+Vh8BnH7xvn7z7jiuw+oBOk/Cj3c/n33irbVG/getrqn1qLKTnkSbU5b1dx6yTu/x99lEoKIjufpUfKT2nJi14MHwO9HBxBUFguu81OS/3RKU8aYwmIbhflCw/ejccP3CI6yvInKh0z2n3+NQHnsgxzmp7yGEmIUViGJUh2e7kqL+i9tl9HMXp2zZt0TL2jFb/eK9DD7fMzCp2yrnnu/eDT0NX9Rm0MFaLm7Xgr274bpp870Nx4w/5K4rSgjBf7wq/xwEHm3YpSl8WSnWvvnjLfdu55NQOdXqJBIfOIvKjfrtOEpj9/FK38CMICv5crbd1I2seOdLdR6s+lxaq636QnQSl/p2uMf/JI8a4/liTnVuYFjmoDcuflPL4wOxbTYL0p0Lhm+zU/ifOX+Tur4bbbWftOh4t6zglofgJZ57j3rMqa5xjtkHvavU/dH/+z/5neX2eQffvlHDOou3Bh2aHLrmL3ika6ytGpeMF5632P9AyMuMXOctPuqogCKzHGWeabxvJ+gzqv6qPu/EmhTuafN8jOsb6Iur/Rfu16teN6tXNJLTXfa/xgT/VraCs9QklPevkf87kK11/r9/Be5mExLKTUh78GEV9H2e7HQAAEABJREFUH+Xh2BZNXN9K10nDz3SLr9QuB4y7zH02QuG80jN6+MSp1rrdQW58H+0Xqn8os+5t3edDLrvazS34sOV11eKpk84ZZbqnJbC+esRZ1jV7POH6snNn2VmXTbK9Dj0iRxZ/Xfuzqa+scHr/nDrm4hyfx9plj7Zu84ICf/HxhyZhvO4nmXfYZTe3uEbvbP/pEdnrOaMTJ5QnjYnVn1S/1DPU3Kg26MhvMqXnxYhJ17tnVjJ32WlcNCbs16o9+br25T55/9amPq3GCKXxPFH6+Sm1pUEpMGbNLZ+6ly6cMcuNC1T/OdpNOEehsIcde7ydPHy06xvJLLXLHntZWY1hlR7KE+AKAQhAIH8C69ats81C2Vhu8tctttjCVq1alX9ExfCRUYywBA0JNGrUyNasWZOrql69eugrPf+DIHCTMnNffdtOHT3Otm++i6nj7kurVbiy0y7t0aHQRLud7172gVvBv9V2TeI6LD5M9KrBsgYi2jEte3WIOoaC5psef9EGjL00h+Bag6arw4ki73+TTWu7Abx2uU+47U7LS2gcBIGpUyvB/iWz5tuC5R/ZwHAAsvEmNd1x8BIk+AkMfc9IwkAd4x4EBZ8cUBmSKTEbPP4Ku3vZh6b0JUwNgg3xasJGg0INjOVXHWZNbg2beF3c0XQ+bg2y9A1BDTyCILA6ocDDc9PEXPWNN/ZeS/T62lOPx3afa1JjYNi5rhUKI0o0kVwia7nfATYsFH6pUy+lXfVTH3zcohOAPui+4UC4sHyeXniv/fTdGhfF8YOG2sIVX9i8V98xTZ44y/BHE0cZmfGTFRpoqa1ox4+4a8DVuFlzd7/Me/09147VxsLgsX/lXwKUW5562e3+qRPWnxxV923CibPL595jUUG93KSKGk5hFfeAUJCiCVDVXVw+w3Ie0i1r8lV+81OaaOwz7Dw34BWTAeMuNe0c2Sq85/MLK/fa4YtPk3XacY7gXERKV7UIBdN6Pm+9/Q6xhPTtyeiOopOGnusmptQ2vKdvPv/MJNj2Zl0DC0yfxlAb1fNHdmpLOlpdR/6PDicEatauLesCKe2q0E5wHR27c5s9k4b5/MMPQoHkd7ZjONlde4u6Sf0UxDIIst5n85eucO+oZi1bmyYvpMRGzxTdk8nePQWJPz8/mjC5+p7FbpJOeu9f96bycu41N7pnjp7lTXbZ1TnrcyUSHjtDCf3ovavJZT3bts0+zURRq+5Vt1MffCJkvbusclV6h815YZkpz5qME0Mp7RhX/qcseswkIMrrnZxr5AkOYnPtfQ/Znge1d88cOauvoLzemP2JFtkVRilfekeo73DoMceZ8q38S+kZPOb6W2zaw8/kfL9kJ6I60zNc4fW+lllOumrCZsbjz9sBnbKOGJR9oqpRs5ZdfMvtpntG6end4f1ILzvdY/ndT5lVqtqgiy6zc6+d5voBikN5UJ6Ut1MjC/XkFlXFYaCFLmdOuNK021bp+Xi/zt7d6s35XTMyM93k5k1hn0/c1KfzYXSPaAFZdAGad9NVnDTZrLBHn3yq6R5W/UmpzagvNOfFZa6PGASBgpSJ0oT4x+/k/UmKMskIiZQ5AU3MR4/iliBHfcm5L79lPQefE8uPnl9BsKFN6pl86ZwFprGNBN/n33BrjpO7/pOkX6/Fo+oHeyG7T0D3zsT5C2P3p97R0X6pdlnr/vH+/VWfqbpu0aOmCWbd11K6l0Zcfb3Nf32FaVGQ+qHev7/u1LKNe6fKTWH0/NEYpqC7k/ctQp/dsv+UXlH7tjrZQ31QvQd7DhoaG9/q+ay68wvNspOKXcR92iPPuqOCY5ZF1Pzx26/2xnNPxYU+sHM3ywwF+XGWpWzQ+0BjY/9O8s9itRON87v1O8P0vtXpZkU9KUrtQ4I7CfiCIHD8NHY4IxybKB1fxCAIrOOJfU2Lp04YPNT5825qK/KvNu3t/FWLSfTejL73xFELIg7qcowFQeAELhLWq7+XkZnpPgm0Xfan0Xw8urp5gCVPmk4bC4IgV3/Kh+JKtrBE8ZSUarT9jlZZBedRhpp3unTO3Tn60XrmaSyqNrx53S2jQQqkD4LAtChS/Qn1Yetkj8sVWHWs5+fAcM5oxmMvxLVHuRdE6SQwLdzcqVWbmPf//vab/fT9dzFzEGSNUTTnpgUeas8xx1Ajc8/wfpj1/BvWqXdf155D67j/mrVr2/hb73B9S/8clweVQXNoereIke532aeC6tirj2nDjd4bep4rT7rKfGPYD1ffMAg2vC/lrh389918Y+z4c+0y3iUUlsstqoIgsC4n93f3vewfmX+7vfL4o9Jaw+22s9b7H+TmtRbOnOEW0ziH8Ed5uuKO+yxaX+pjatw0cf4i06aYrqecHntn6PmlfKr9aGygZ10YTZ7/esboPaK6Vvv1npWONjWMu3l2KODf3FuX+VV5SoUxa24F1yKW6xY+6ubpdH+qjcuv2o7GUHq3DL3y2hxzyfJTlmNYpYdKAwIUAQIQKBMCVapUsZ9//jlX2esPP/zgNjaXZmYQoJcm3UoSt4SkGljouEF/xLOOedakkOwGXXy5aaeBBhxBEN/JzQ/RVqHQ7apwokfxzXvtXbf7TgON3MJp96/3f3corNfuomahICQI8k83CAJTehq8a4JEafy2dq1dftbppu+dyawO8KS7HnD+ZC4pFQSBO8ozIzNeAOvjV0daAzPx1QSGBvRBkLxMQRCYOn/qeC/5ZLXd/tLyfLn5dIpz1cSwwquTql0AGozJXBYqCAKTkHfhe5+blAYciYJpn48gKBwfrf59etG9Lnideg3cMeJVq1UzCes2qbWps8/rR7sqLpx+m933zkpb/PEqN8mk+0X3TV7h1PnXRKbqT+1fda+FIKrbjMzk7UTxFTWcBnSaANXnDaL5zI2j0kqmqoRCGw3iFcedr79nXfr0L9RKdg0uNWmpeJLFj10WAU0UaZeP2sbwSVOyLJP85ucvCALTLtqbHn/BfdZB8elTFwrno9PgX0dtq23IXerMUEAWBDmfQUGw4f6SP7WDSXc/4E4fyMhM3m71bVhNWsq/lD/FwNs/+OHXbtLe5yd61aS+wpx/wy2WmceksspTEF5q79qBJwHj7FAILCU2eqbo3oqm7fU6Zvb+dz9z/LTYydsnXvPLg9Lufvpgm/XcGy4ulUv3vfJyUJdjYveRhPhy0zs2mie1A9mrnEorMX1vzs+fngWaGNY7RPFJqe61q0KT1qof2anMKruPN3pVHMrzZbcvMDGUmvn0q+5dpDBBkLPtKLyvc8UvpbRkH1U+/2oz8q/39sXhpKDamsKor6C85sZAdSR/eeU/CAJ39LAEJcq38i+lZ7COX1T5onlK1AdBVni9r1WHSk9XCXU10Rn1XyUcDETN0mdkZrp7Runp3aHwUtLLLr/3gOKQysjMtINCgUv0PaI8JesXyX9UBUFWGYrCQBOwEoaozMq3lCYUffyqG7VT2edVD/KvPp+4qU8n/1K6R3oPHZl0EaHCeKWwZ4y9xHQPq/6kdD/pNB7db95f9BrNm9pa1M3r1e7U/pQXlUNhvFv0mtjW1IdQ3iVoqt9o26hX9GlO4LP3V9grT2ZNzuv+07NNi03UdvSplLyKv0X9BqaxzS1PvuTe10EQ//zUaRTakRYEgemqE4ok0MmtjUfvTz03JfwsSL9Ui0In3rXIdF9L6V7S6S3qI+SW/yAITAIM9c0VRs+fvMYwifEEwYY+RVHGNHpWF6VvWyXsy5596STTe1DCgmi+VB8Sxup9rfg17tEirvy4R+MoiP6nNWts1ecbPpujhdQ7hWPagoQtaT8ZmZmxd5J/Fut9dP3iJ02fwHFCitBPcdJVu5QAT/V87f2P2K5t904qCNT4cv4bK5xQMwg23AtBEFink04xCbf8wpE6obBzwLhL3aI3vTeDYIN/5VXjfS32U5qq68SF1zp5QfMCQRC4hVjDJ021yQsWm+YbFN4r+dvjwPbOqEUwWsQ358U3nTBXbcQ5lMKP3kU6mahVBd9x7t+VeqcWVCV79+qZp/tS71kfj/R+LKrnrcLJTWlGq2R4OJaSvdzlL+omvfoTYu37U/Lrn59aOJPsOaj68X0F+ddzX3Elqp3btHWL4+VHSu1bi1MS/WnuQOW79elXYuME+Ze5z7DzLFm+o3FkZGbdx/45rrAqwzX3PezeLRmZOcdpuXFRX179N8WRyDIvt2h+8vMXBFn9UL039P5QWrrK7O9BpS17X28ZmZnWd+T5MT6aSwmC+Pve50H3qu57hRcHjYflpvHkUb1PMe1ef/GRJfbqE4/J2qkgCNyzSZsZFE5KfUyNm3Svqx2cfsF4956Um56T6sOq/bgIwh99XqD3Pru7EwQuP+u0OAF96Oz+k7VlpaP5Lr2fnKfwJzMcQ+gdFGrdv+ehuhFfZ5nwo3aovEnJf4KzM6otian8qA04y8hPsvypbtQv0PhPLOS9sGNW5Vl5V7rJ8iY7uUkly5fSlFL6qhP1b1S38q/8aQyV27tF4aQUVmUo7BjW5035VzkUV6IqCfaJcWKGQHEIEBYC6UQgM+wDlGZ5EKCXJl3irtAE1Lk9t+fR7ltXKkjbQw6zweOvTLpaUe6VXWngph1hmrjY94iOaYPj9WeeMLUFFWifwzuYBOLSS+l7lbpKaUJNVxQEIAABCEAgLwL6TIaOFpQf7SrVFVUsAgSGQEoTeOK+u8zf84cc3T12hKtOcvn6049d3jURvsmmmzp9YX502s+E2+aZhIC6esFCYeLAb+EISHjQb9SFbtGuJue1iKukuf/zz9+27p91sYztvm8727TOFjEzmpwEgiBLuCUBvAQmEnZ64WlO3/nbRIX6El5JICPhSmJI+Rs/8w4ntMtvEV9iWMwQgEDqEdCudS1W0NH2144eZh++9WaJZFKbc6aMGWE62VCLknudPcKiAvGCJKIT2r5b9ZXzWrdBQ0t2Co1z5AcCEIBAehOgdBAoUwII0MsUN4lVFAL6nt3oE481fRNJeVYHVzswkw2a5Y4y0+SBdoTlt6qzIrH6+6+/7NUnsnYMKd9tDz4sthvi7z//tLdfeVHWpmPR9L0sZ+AHAhCAAAQqJYGbLx1n2lWib67mdbz+B8uXOj4b1djE6jbcyun5qcwEKHs6E/j1559s+YvPuyLqnt9lz72cXj+//PiD+efBVo23t0ZNdpQ1CgK29XZNYp8KCYLA9DmoIEi+kxJcEIAABCBQcgSCILBjTxto+hSVPuN43onH2CvhnJAWvRU1FY0LLuh7vJs/0q7xsy6ZGDtCXnF+9cnHduoh+9iZndrHTr+UfaJSv+HrlZ86a51EppMOnIEfCEAAAhCoQATIakUjgAC9otUY+S11Au8ve91GhcJzHd3tE9NRTPoOnjdzrRwEfvruW/vkvXdcYf+z0Uamo76cIfz56J237K2XswTo+k5Ww+22C235hwAEIACBykpgq+2buF0lzy5eaO+98WpSDDrR5F3eLn0AABAASURBVPF75ju3ndvs6YQkzsAPBCoqAfKdJ4GvPv3Yvsk+ils7zKN9yWUvPGtfffqJC9+uYxfTgl1n4KfSE9CibX0Ko1PvU0xtY6dWbSo9EwBAAAIQKCsC+sTD+Tfe6j6NohNkxp9xsl3Qt6d99sEKK4wgXZsuHltwpw0+6hD7OJw/0pzS2JvmuGPzo2XZtE4dq1K1qq18/z177O559uvan6POTq90H1sw337+/ju3qWP/Izs7e34gAAEIQAACZUqgEiaGAL0SVjpFzp2Ajmca27+3aaWp99WhZ287oNPR3si1EhHQMbvaOZRY5D9++9XmTZlk6/7520129jzzHMvMrJLoDTMEIAABCFQiAlpMVadeA1fiqReMtCfvX2A6alEWOtHkxUeXmE63+em7NabdJ8f0H2ASksgdBQEIlA+B0k71u2++tvXrNhzF7dOT/bypk51Ri3SP6t3X6fmBgCeg070GXXy5nTdlhrHL0FPhCgEIQKBsCEiIfuG0maZPduio9TdfeNYJwvvs18pmXjnB3n71JVv74w/27/r1sQytW/eP/bhmtb365GN2xdlnWPfdd7RrzzvH/vv7b9Z0t5Z2/YNPWNuDD4359xotoNNiKZk/enu5XTtqqH3z2acubgnOtYNdY4v5N1wjL7ZnGEeLtvs4PT8QgAAEIAABCBScQFF8ZhQlEGEgkI4ENJE1cdjgOOG5jm3qf95YU4c5HctMmfIm8Psvv8QmPbXyWLuINCi69YrxtvylrOM4+44YE3f8Vt4x4goBCEAAAulKoH6jbeysSyeadpfonXH1iLPs2BZNrGOT+tZ1523t0kH9TafbqE9xzlXXWcv9DkhXFJQLAhDIJvDDt6uzdeZOqFj95eemhZiaUF/1+Uo3xjj9wglxpxzFAuSvwQcEIAABCEAAAqVEQAtdu58+2GY9/4bpRBAtgNUmi3tuusHO63WM9Wq7q3VqupXr66u/36VZIztp31Z28el97Lkli0xzRw22aWyjp9xkk+9ZYltt1yTXnHbtd7rtf2Qn564j4087dD8X91E7NLBTDtzTHpk/17lpjlInlChvzoIfCEAAAhCAAARKlUAKCdBLtZxEDoE8CehopRsvGm2ayPIeGzbe3oZecY1p5am341q5CGjnR3Rg8tC8OTbxnEGxwYtWIx9x/ImVCwqlhUCEwOZb1rPZzy+1hz791oZPmhJxQQuByklAu0pufeoV6zl4qGnCLEpBZtlrEq59tx7u+MWoe3H1O+y6m93/7mfufuxxxpnFjY7wEIBACRBo2HjDJ360E/3+W2e4xTRaiKmJ+FHXTbdWlXYxTQkAJgoIQAACEIBAKRPQmFcngix8/wu7buGj1uus4dasZWvbdPM6OVKWnYTcp44eZ7c9+7rd8tTL1u6oLpaRmZnDb9RC847nXTfDLrplrrU54GCrvvHGMWfpZSe3S2bNN81TxRzRQAACEIAABCBQqgQQoJcUXuKp0ARefuIRe+2px2NlqL/NtjZuxmzbcqutY3ZoKh8BDZRqbrpZrODvvfGqPf/Qg84s4bmO3w2CwJn5gQAEIAABCIiA3h19hp1ntz79ihNma4GJlMyyl7v8oSAAgfQnULfBVnGfanjpsYfcKUY6iWJUOFG+7xEd0x9CupaQckEAAhCAQKUioHf3ji12t95DR9o19z5kd77+XlxfX/192V12+wI75tSBVm/rRoVaMJuRmemOeJ9w25123zsrY3FLLzst1M3IzFsQX6kqhMJCAAIQgAAEyoAAAvQygFwRkqjMeVy/fp298PDiGAJ1iK+6c6E12mHHmB2ayklgs7p1bdc994orvL5Pdensu+zY0wblu4o4LiAGCEAAAhCAAAQgAIFKRWCr7ba37XbaOa7MjZrsYNctetTadexcqIn1uEgwQKCYBAgOAQhAAAIQgAAEIAABCEAAAnkTQICeNx9cKwaBYudSxyzpqO5+5421ifMX2Rb1GxQ7TiKo+AQyM6u4lcMSmtepV9+063zmM69aq/0PZMKz4lcvJYAABCAAAQhAAAKlSkBHsur7qVWrVbOtt9/Bhk+aalMfeCKHUL1UM0HkEEg/ApQIAhCAAAQgAAEIQAACEIBAqRNAgF7qiEkg1QlISHrmhCtt4XufW/fTBsUds1g2eSeVVCagEwnmv7HCbn9puWkCdONNaqZydskbBCAAAQhAAAIQgEAKEdjviKNs0ftf2k2Pv2Dtu/VgrJFCdUNWIFA+BEgVAhCAAAQgAAEIQAACEKgIBBCgV4RaIo8QSGUC5A0CEIAABCAAAQhAAAIQgAAEIACB9CdACSEAAQhAAAIQgAAEIFBJCCBAryQVTTEhAIHkBLCFAAQgAAEIQAACEIAABCAAAQhAIP0JUEIIQAACEIAABCAAAQgUlAAC9IKSwh8EIACB1CNAjiAAAQhAAAIQgAAEIAABCEAAAhBIfwKUEAIQgAAEIAABCECgDAkgQC9D2CQFAQhAAAJRAughAAEIQAACEIAABCAAAQhAAAIQSH8ClBACEIAABCAAAQhULAII0CtWfZFbCEAAAhBIFQLkAwIQgAAEIAABCEAAAhCAAAQgAIH0J0AJIQABCEAAAhCodAQQoFe6KqfAEIAABCAAATMYQAACEIAABCAAAQhAAAIQgAAEIJD+BCghBCAAAQhAAAKFJ4AAvfDMKk2IrWtuZCgY0AZoA7QB2kAKtgHeT7yjaQO0AdoAbYA2QBugDdAGaAO0AdoAbYA2kP5tgDqmjmkDtIEyaQMNNqleaWR/FLRgBBCgF4xTpfO1xUbVrEXdWigY0AZoA7QB2gBtoMTbAO9X+hi0AdoAbYA2QBugDdAGaAO0AdoAbYA2QBtI/zZAHVPHtIGK1AYqnSCQAudJAAF6nnhwhAAEIAABCEAAAhCII4ABAhCAAAQgAAEIQAACEIAABCAAgfQnQAkhAAEIVGICCNArceVTdAhAAAIQgAAEIFDZCFBeCEAAAhCAAAQgAAEIQAACEIAABNKfACWEAAQgUBwCCNCLQ4+wEIAABCAAAQhAAAIQKDsCpAQBCEAAAhCAAAQgAAEIQAACEIBA+hOghBCAQDkTQIBezhVA8hCAAAQgAAEIQAACEKgcBCglBCAAAQhAAAIQgAAEIAABCEAAAulPgBJCoOITQIBe8euQEkAAAhCAAAQgAAEIQAACpU2A+CEAAQhAAAIQgAAEIAABCEAAAhBIfwKUEAIhAQToIQT+IQABCEAAAhCAAAQgAAEIpDMBygYBCEAAAhCAAAQgAAEIQAACEIBA+hOghCVDAAF6yXAkFghAAAIQgAAEIAABCEAAAhAoHQLECgEIQAACEIAABCAAAQhAAAIQgED6E0iZEiJAT5mqICMQgAAEIAABCEAAAhCAAAQgkH4EKBEEIAABCEAAAhCAAAQgAAEIQAACFYlA0QToFamE5BUCEIAABCAAAQhAAAIQgAAEIACBohEgFAQgAAEIQAACEIAABCAAAQhAoJIRqJQC9EpWxxQXAhCAAAQgAAEIQAACEIAABCBQKQlQaAhAAAIQgAAEIAABCEAAAhCAQGEJIEAvLLHy908OIAABCEAAAhCAAAQgAAEIQAACEEh/ApQQAhCAAAQgAAEIQAACEIAABMqBAAL0coBeuZOk9BCAAAQgAAEIQAACEIAABCAAAQikPwFKCAEIQAACEIAABCAAAQhAoGISQIBeMeuNXJcXAdKFAAQgAAEIQAACEIAABCAAAQhAIP0JUEIIQAACEIAABCAAAQhAoNISQIBejKr/3//+Z2vXrrWqVatatWrVcijZ//HHHyZ/xUiGoBAoMQJEBAEIQAACEIAABCAAAQhAAAIQgED6E6CEEIAABCAAAQhAAAIQqKgE1q9fb1WqVMkhd/WyWC9/Lc3yIUAvBt0gCCwjI8P++ecf+/vvv3Mo2cs9CALjDwIQKDYBIoAABCAAAQhAAAIQgAAEIAABCEAg/QlQQghAAAIQgAAEIACBSkwgMzPT1q1bl0Pu6mWxkr9Wr169VAkhQC8m3lq1auUZw0YbbZSnO44QgEBlIUA5IQABCEAAAhCAAAQgAAEIQAACEEh/ApQQAhCAAAQgAAEIQKC0CUjIXpppIEAvTbrEDQEIQCBdCFAOCEAAAhCAAAQgAAEIQAACEIAABNKfACWEAAQgAAEIQAACEDAE6DQCCEAAAhBIewIUEAIQgAAEIAABCEAAAhCAAAQgAIH0J0AJIQABCEAAAhCAQEkQQIBeEhSJAwIQgAAEIFB6BIgZAhCAAAQgAAEIQAACEIAABCAAgfQnQAkhAAEIQAACEEgRAgjQU6QiyAYEIAABCEAgPQlQKghAAAIQgAAEIAABCEAAAhCAAATSnwAlhAAEIAABCKQPAQTo6VOXlAQCEIAABCAAgZImQHwQgAAEIAABCEAAAhCAAAQgAAEIpD8BSggBCEAAAhCIEECAHoGBFgIQgAAEIAABCKQTAcoCAQhAAAIQgAAEIAABCEAAAhCAQPoToIQQgAAEIFCyBBCglyxPYoMABCAAAQhAAAIQKBkCxAIBCEAAAhCAAAQgAAEIQAACEIBA+hOghBCAAARSjgAC9JSrEjIEAQhAAAIQgAAEIFDxCVACCEAAAhCAAAQgAAEIQAACEIAABNKfACWEAATSkQAC9HSsVcoEAQhAAAIQgAAEIACB4hAgLAQgAAEIQAACEIAABCAAAQhAAALpT4ASQgACSQkgQE+KBUsIQAACEIAABCAAAQhAoKISIN8QgAAEIAABCEAAAhCAAAQgAAEIpD8BSgiB0iKAAL20yBIvBCAAAQhAAAIQgAAEIACBwhMgBAQgAAEIQAACEIAABCAAAQhAAALpT4ASpjABBOgpXDlkDQIQgAAEIAABCEAAAhCAQMUiQG4hAAEIQAACEIAABCAAAQhAAAIQSH8C6V1CBOjpXb+UDgIQgAAEIAABCEAAAhCAAAQKSgB/EIAABCAAAQhAAAIQgAAEIAABCKQ/gXxKiAA9H0A4QwACEIAABCAAAQhAAAIQgAAEKgIB8ggBCEAAAhCAAAQgAAEIQAACEIBA8QmkugC9+CUkBghAAAIQgAAEIAABCEAAAhCAAARSnQD5gwAEIAABCEAAAhCAAAQgAAEIpAQBBOilWg1EDgEIQAACEIAABCAAAQhAAAIQgED6E6CEEIAABCAAAQhAAAIQgAAEIJAuBBCgp0tNlkY5iBMCEIAABCAAAQhAAAIQgAAEIACB9CdACSEAAQhAAAIQgAAEIAABCEAgRgABegwFmnQjQHkgAAEIQAACEIAABCAAAQhAAAIQSH8ClBACEIAABCAAAQhAAAIQgEBJEkCAXpI0iQsCJUeAmCAAAQhAAAIQgAAEIAABCEAAAhBIfwKUEAIQgAAEIAABCEAAAhBIMQII0FOsQsgOBNKDAKWAAAQgAAEIQAACEIAABCAAAQhAIP0JUEIIQAACEIAABCAAAQikHwEE6OlXp5QIAhCoMP3VAAAQAElEQVQoLgHCQwACEIAABCAAAQhAAAIQgAAEIJD+BCghBCAAAQhAAAIQgAAEkhBAgJ4EClYQgAAEKjIB8g4BCEAAAhCAAAQgAAEIQAACEIBA+hOghBCAAAQgAAEIQAACpUMAAXrpcCVWCEAAAhAoGgFCQQACEIAABCAAAQhAAAIQgAAEIJD+BCghBCAAAQhAAAIQSFkCCNBTtmrIGAQgAAEIVDwC5BgCEIAABCAAAQhAAAIQgAAEIACB9CdACSEAAQhAAAIQSGcCCNDTuXYpGwQgAAEIQKAwBPALAQhAAAIQgAAEIAABCEAAAhCAQPoToIQQgAAEIAABCORJAAF6nnhwhAAEIAABCECgohAgnxCAAAQgAAEIQAACEIAABCAAAQikPwFKCAEIQAACEChtAgjQS5sw8UMAAhCAAAQgAIH8CeADAhCAAAQgAAEIQAACEIAABCAAgfQnQAkhAAEIQKACEECAXgEqiSxCAAIQgAAEIACB1CZA7iAAAQhAAAIQgAAEIAABCEAAAhBIfwKUEAIQgEDlIIAAvXLUM6WEAAQgAAEIQAACEMiNAPYQgAAEIAABCEAAAhCAAAQgAAEIpD8BSggBCECggAQQoBcQFN4gAAEIQAACEIAABCCQigTIEwQgAAEIQAACEIAABCAAAQhAAALpT4ASQgACZUcAAXrZsSYlCEAAAhCAAAQgAAEIQCCeACYIQAACEIAABCAAAQhAAAIQgAAE0p8AJYRAhSKAAL2Y1bV+/fo8Y8jPPc/AOEIAAhCAAAQgAAEIQAACKUyArEEAAhCAAAQgAAEIQAACEIAABCCQ/gQoYWUjgAC9mDX+ww8/WO3atW3zzTdPqv7++2/LT4i+atWqYuaC4BCAAAQgAAEIQAACEIAABApJAO8QgAAEIAABCEAAAhCAAAQgAAEIpD+BFCthfnLRtWvX2kYbbZRU7urlsWvWrLHS/EOAXky69erVM1XkTz/9ZMmUKjgzMzPPVJYtW2ZLly7N0w+OEIAABCAAAQhAAAIQgAAEILCBADoIQAACEIAABCAAAQhAAAIQgAAEKhaBxYsX2+rVq/PMtDYu/9///V9M7ppM/ir5bJ6RFNMRAXoxAZZUcAnQpUoqPuKBAAQgAAEIQAACEIAABCAAgZQlQMYgAAEIQAACEIAABCAAAQhAAAKVioCE5/ntPk8VICUoQE+VIlXcfEiALlVxS0DOIQABCEAAAhCAAAQgAAEIQCD9CVBCCEAAAhCAAAQgAAEIQAACEIBAwQlUJOG5SoUAXRSkUkRJgC6VItkhGxCAAAQgAAEIQAACEIAABCAAgfQiQGkgAAEIQAACEIAABCAAAQhAoMwIVDThucAgQBeFFFMSoEsVJlv4hQAEIAABCEAAAhCAAAQgAAEIQCD9CVBCCEAAAhCAAAQgAAEIQAACFYVARRSeiy0CdFFIQSUButRvv/2Wgrkr8SwRIQQgAAEIQAACEIAABCAAAQhAAALpT4ASQgACEIAABCAAAQhAAAKVhEBFFZ6rehCgi0KKKgnQP/roI0OInqIVFMsWGghAAAIQgAAEIAABCEAAAhCAAATSnwAlhAAEIAABCEAAAhCAAAQKQqAiC89VPgToopDCCiF6CldOumSNckAAAhCAAAQgAAEIQAACEIAABCCQ/gQoIQQgAAEIQAACEIAABMqAQEUXngsRAnRRSHGFED3FK4jslSsBEocABCAAAQhAAAIQgAAEIAABCEAg/QlQQghAAAIQgAAEIACB1CeQDsJzUUaALgoVQCFErwCVRBYhUHgChIAABCAAAQhAAAIQgAAEIAABCEAg/QlQQghAAAIQgAAEIJD2BNJFeK6KQoAuChVESYgu9dtvv1WQHJNNCEAgvQlQOghAAAIQgAAEIAABCEAAAhCAAATSnwAlhAAEIAABCEAAAnkTSCfhuUqKAF0UKpD66KOP7NlnnzWE6BWo0sgqBCCQmgTIFQQgAAEIQAACEIAABCAAAQhAAALpT4ASQgACEIAABCBQqgTSTXguWAjQRaGCqVWrViFEr2B1RnYhAAEIlDQB4oMABCAAAQhAAAIQgAAEIAABCEAg/QlQQghAAAIQgEAqE0hH4bl4I0AXhQqoEKJXwEojyxCAAAQg4AlwhQAEIAABCEAAAhCAAAQgAAEIQCD9CVBCCEAAAhBIYwLpKjxXlSFAF4UKqhCiV9CKI9sQgAAEIFDBCZB9CEAAAhCAAAQgAAEIQAACEIAABNKfACWEAAQgAIHcCKSz8FxlRoAuCsVQf//9t9WvXz9X9e+//+Yb+yabbGINGzYsklLkH330kS4oCEAAAhCAAAQgkD8BfEAAAhCAAAQgAAEIQAACEIAABCCQ/gQoIQQgAIFSIrB06VIXc1FlmzVr1nTh8/rZbLPNrF69enHKy2Pr1q1rf/75Z17Bi+2GAL2YCJs1a2ZdunTJVXXu3Nny+zvooIOsU6dORVZt2rTJLwncIQABCEAAAhCAQFoQoBAQgAAEIAABCEAAAhCAAAQgAAEIpD8BSggBCKQuAckliyPXbNq0ab6F69Gjhx199NFxystju3XrZq1bt843juJ4QIBeHHqEhQAEIAABCEAAAhCAQMEJ4BMCEIAABCAAAQhAAAIQgAAEIACB9CdACSEAgVImUK1atVJNAQF6qeIlcghAAAIQgAAEIAABCKQLAcoBAQhAAAIQgAAEIAABCEAAAhCAQPoToIQQgAAC9GK2gdWrV9vixYsLpfy3AYqZNMEhAAEIQAACEIAABCAAgYISwB8EIAABCEAAAhCAAAQgAAEIQAAC6U+AElY4Ah999FGh5KySy/7222+lWk4E6MXEu8kmm5jO+i+oatCggZV2pRazSASHAAQgAAEIQAACEIAABFKMANmBAAQgAAEIQAACEIAABCAAAQhAIP0JVMYSSm5aWHlrzZo1SxUVAvRi4lUFSSheUCX/xUyS4BCAAAQgAAEIQAACEIAABCoSAfIKAQhAAAIQgAAEIAABCEAAAhCAQPoTKHIJJT8tqKxV/oqcUAEDIkAvICi8QQACEIAABCAAAQhAAAIQgEBlJECZIQABCEAAAhCAAAQgAAEIQAACEEh/AhtKiAB9A4si6datW1ekcCUd6N9//y3pKCt0fKlSL6kEESbxtZFK90wq5SWeUvmYaKs5ucMknkkq3TOplJd4SuVjoq3m5A6TeCapdM+kUl7iKZWPibaak3vaMMlZtGLZpMq9s379+mKVI10Dp0r9pEo+Uq2eU6Xdpko+Uq1+UuW5/7///S9l0KQKEwFJpbykSh2lEhPVUaqoVHnGpUo+UqVefD5SpY+QKvnwXFLlmirtlvpJ3iJ47ifnUlq2FVKAXlowihLvypUrbeHChfbggw8mVYsXL8432kWLFiUNm1ucifYLw/TvvffeYsWRGGdRzQsWLEiJfIiJVFHLUVLh7r77brvzzjvLnYlY3HfffeWeD3FNlXzcc889ed67ymtZKNUN92/881NMpMqCf15pcP/G14tYcf/GM1E75f7NyURc1F7KU3H/xteL6oL7N56J2in3b04m4qL2Up4qVe5fMRAPKenLW6XKOEv1U9Z5yY29nmvUT877OFWebaky3lL7UVvRtbyV2uv999+fMuPyVGkrqcJE9ZMqbUX3T6rUj+YsxYb7Z8PzVu/Cu+66KyXuZdWNVHnXj9JXu9W1vJXqJ1XyomdKqtRPqvTfxCNVnm9qJ8pPebdZpa+2omt5K/GQKu98KH21Eynpy1ulUv2kSl70TClu/bzwwgt5yk7/+9//5itbe/XVV/OMo7iOCNCLSbBq1ar23Xff2erVq5OqIAgSU8hh1mqa3MIXxF7pa+VJQfyWtp/q1asn5VDa6SbGn5GRkWe9JPovLfPatWvt999/L3cmaiNqq6VVzsLEmyr50D0jLoXJe2n4VR6Ul9KIu7Bxcv/GP8e5f+N5qD2lyv37zz//pMQznvs3Zxvh/RvPRG0kVe6bVMkH9298G9GzlfdvPJNUef+qbqpUqZIS7xvl5T//+U+5jymUD9XP//3f/6VEXoIgSJn6yeM+LlNWeu+kythC8xzKj9pNeatUeQeKh3atljcPpf/nn3/ajz/+WKbtU+kmU3rWJrMvazvVT6q0ld9++y2l6kdsyro+EtNTHqpVq5YSbVbvwj/++CMl8pIq4y/VVyr1Vf7666+UqB8JAdR2xae8VSr1VbTDubx5KH3lI1XqJ1XeP+KRKn0VPWfpq8SPlVU/qfQuLG79qCx6TuamNt54Y1OfSPdrbkrvntzCl4Q9AvSSoFip4qCwEIAABCAAAQhAAAIQgAAEIFBZCQRB/ovEKyub9Cs3JYIABCAAAQhUPAJBQF+l4tUaOYYABCCQegQQoKdenZCj0iRA3BCAAAQgAAEIQAACEIAABCAAAQikPwFKCAEIQAACEIAABCAAAQhAoIgEEKAXERzBIFAeBEgTAhCAAAQgAAEIQAACEIAABCAAgfQnQAkhAAEIQAACJUUgCNiVX1IsiQcCEKg8BBCgV566pqQQKG8CpA8BCEAAAhCAAAQgAAEIQAACEIBA+hOghBCAAAQgAAEIQAACEKjQBBCgV+jqI/MQgEDZESAlCEAAAhCAAAQgAAEIQAACEIAABNKfACWEAAQgAAEIQAACEKjsBBCgp0ALWL9+fQrkgixAAAJpTYDCQQACEIAABCAAAQhAAAIQgAAEIJD+BCghBCAAAQhAAAIQgECxCSBALybCf/75xxo1amTbbLNN7Cq9V0EQ/32RBg0aWJs2bcz/rVu3znbaaSc7/PDDnTriiCPc1ZsLcm3Xrp395z//cekrL1GlfMjsr9JLyRxVsiuuUtnEIxpveen/97//JeXhy5hbvpK5e7uiXMWkbt26OfJSmPTltyhpR8MoH8mY5Ba37KMqGldx9MrHX3/9lYNHYpzRtKN678/beXNRrtWqVbMtt9wyaV58/IlXn05u9t69MFcx4f7dxj1DPddkbTXK1PtLvHo/UXtvV5Sr6ob7t1HsHhEP3b9RvuWl1z3D/RtfN3r/FqSd51ZnPqzcvb4oV+7fDfUifrpvkjHJjbPso0pxlIRSPrh/c9aNniXJ+KoOZO+v0kvJHFWyK65S3XD/5qybZO9fzzpaB14vN6/XNWqWvqjq33//jeujKO6iqqLmQeHUTv7++++Uycumm24a6x8of1JRLlGz9FL5uctPYZXG1NF4i6MvbNpR/6qfxPtYeZGf6FV6KW/v9VFz1E72hVXKi55tiscrxeH1hb0qbFFVZmamG28VNs1k/ouaB4UTE70Dpc9N+TS9uzdHr3KTWdeiKuUlIyMj6b2sOBV/YZTCFFVVr17d1Y/CK01dvZJZKi+z3OTHK5mLqlQ/Pp7iXouaB4VT/aTKc1/vwbzGO8pvlFVBzPJTFOWfb9H0iqovaPrJ/Kl+fF6i7spLMrPsvZK71+sqc3GU8lKnTp2k97LiL6wqTl401vDpKR7p81sFrwAAEABJREFU/VX6wiiFK6oSE/VVfHilK330Kr2Ut/f6qDlqJ/uiKOWlRo0aKVE/QRDk6DOpTCqnV1Gz9FLeTVdv1rWoSkz+/PPPlGCivFStWjUl8qJ86FnrOXu+MkvlZZab/Hglc1GVmKTSuzAIkrdbX77EMntz9Cq/MutaVFWzZk3XV/Hx6FocVdR8KJyeb8VJOxpW8RVVqa2or6Lw0TiLqlc8RVW6dyS7LIo8U+GkatWqpSFdTDVt2tSkYhahRukk5tGXt2HDhvb777+HvkrvHwF6MdmqQo888kjr0KGD+av0XnXs2DEuBd34Ut6ySpUqtuuuu1rjxo2d2nbbbd21cba5INfmzZtb165dXfrKQ1QpHzL7q/RSMkeV7IqrOnfubJ06dXIsonGXh/7YY49NysOXMbc8JXP3dkW5ikmyuilM+vJblLSjYZSPLl265GCSW9yyj6poXMXRKx9S+cURTTuq9+G8nTcX5ap6kUoW1sefePV+c7P37oW5ikde+VBcSk9Xr2SOKm9fnKvywf17ZNw9IibJ6ibKPqr3/KN20h955JFx8Xp/Bb0qH6l0/6pM5a1UL1LJGOaWN+830d3bF+WquskrH4pT6enqlcxR5e2Lc1U+dP8WJI5o2lG9Dys7ry/KlfdvzucI92+HuL6h7hmpZO1L7S+Z8n4T3bx9Ua66b/LKh+JUerp6JXNUefviXJUP7t+c901udSPW0Trw+kT7qFn6oqpjjjkmrv369IpyLWoeFE7t5Oijj06pvChfURVlIntvll7Km3WNmqUvqurevXvKMEm8j6PlVPlk9ipqll7Ku+kqc1GV2oruH8XjleLy+sJeFbaoqlu3bm6eorBpJvNf1DwonJhISZ+b8ml6d2+OXuUms65FVcpHYv0oTinFqWthlMIUVen5prwovNLU1SuZpfIyy01+vJK5qCqV7uVUedbqmeLrJ5GrmMtOV68KYpafoijVj8L5tIpzVTxFVf7+SQyv/ETtvFlXr+Tu9brKXBzl86K4kqhCv5uKkxeNv3weFI/0/ip9YZTCFVWJSXTco3QVV/QqvZS39/qoOWon+6Io5UXvIMVVEqooefBh/P3jzf4azZfsvFl6KW/W1Zt1LaoSE9WP4isJVdR8KJzykir1o+eslJgob17JLJWXWW7y45XMRVViIuXjKu61qPlQOOVDTKTPTfn8eXdvjl7lJrOuRVVqJ8qLj0fX4qii5kPhdC8XJ+1oWMVXVKX60b2s8NE4i6pXPEVV6jNJdlkUeabCSWljsZeT6iq5qZT0XqkNJObRl1f9pbZt23qvpXJFgF4qWMs+Uq1iLvtUc6aoXb05bbFJBQJarJEK+dCOiFTIR6rwEAvuX1FA5UWgfNvrhpxx/25g4XXcv54E19wIcP/Gk0kVHsoV968ooCoKAe2QSZW8BkGQKllJmXyk0jg4VZ5tqfS8T5U+rBqsdubrWt4qVfJR3hwS00+VdhsEPGcT60bmVKkf5SV9VdFLRl+l6OzKIiR9lZyUU+mZQl8lZ/2kSp82Z87K1yaV2m35kshKvbSfbQjQszjzCwEIQAACEIBAOhKgTBCAAAQgAAEIQAACEIAABCAAAQikPwFKCAEIQAACEChBAgjQSxAmUUEAAhCAAAQgAIGSJEBcEIAABCAAAQhAAAIQgAAEIAABCKQ/AUoIAQhAAAKpRQABemrVB7mBAAQgAAEIQAAC6UKAckAAAhCAAAQgAAEIQAACEIAABCCQ/gQoIQQgAIG0I4AAPe2qlAJBAAIQgAAEIAABCBSfADFAAAIQgAAEIAABCEAAAhCAAAQgkP4EKCEEIACBnAQQoOdkgg0EIAABCEAAAhCAAAQqNgFyDwEIQAACEIAABCAAAQhAAAIQgED6E6CEEIBAqRBAgF4qWIkUAhCAAAQgAAEIQAACECgqAcJBAAIQgAAEIAABCEAAAhCAAAQgkP4EKCEEUpUAAvRUrRnyBQEIQAACEIAABCAAAQhURALkGQIQgAAEIAABCEAAAhCAAAQgAIH0J0AJ05gAAvQ0rlyKBgEIQAACEIAABCAAAQhAoHAE8A0BCEAAAhCAAAQgAAEIQAACEIBA+hOghHkRQICeFx3cIAABCEAAAhCAAAQgAAEIQKDiECCnEIAABCAAAQhAAAIQgAAEIAABCKQ/gVIuIQL0UgZM9BCAAAQgAAEIQAACEIAABCAAgYIQwA8EIAABCEAAAhCAAAQgAAEIQAAC5U+gtAXo5V9CcgABCEAAAhCAAAQgAAEIQAACEIBAaRMgfghAAAIQgAAEIAABCEAAAhCAQFoQQICeZzXiCAEIQAACEIAABCAAAQhAAAIQgED6E6CEEIAABCAAAQhAAAIQgAAEIACBLAII0LM4pOcvpYIABCAAAQhAAAIQgAAEIAABCEAg/QlQQghAAAIQgAAEIAABCEAAAhAoMQII0EsMJRGVNAHigwAEIAABCEAAAhCAAAQgAAEIQCD9CVBCCEAAAhCAAAQgAAEIQAACqUQAAXoq1QZ5SScClAUCEIAABCAAAQhAAAIQgAAEIACB9CdACSEAAQhAAAIQgAAEIACBNCOAAD3NKpTiQKBkCBALBCAAAQhAAAIQgAAEIAABCEAAAulPgBJCAAIQgAAEIAABCEAAAokEEKAnEsEMAQhUfAKUAAIQgAAEIAABCEAAAhCAAAQgAIH0J0AJIQABCEAAAhCAAAQgUAoEEKCXAlSihAAEIFAcAoSFAAQgAAEIQAACEIAABCAAAQhAIP0JUEIIQAACEIAABCAAgdQkgAA9NeuFXEEAAhCoqATINwQgAAEIQAACEIAABCAAAQhAAALpT4ASQgACEIAABCAAgbQlgAA9bauWgkEAAhCAQOEJEAICEIAABCAAAQhAAAIQgAAEIACB9CdACSEAAQhAAAIQgEDuBBCg584GFwhAAAIQgEDFIkBuIQABCEAAAhCAAAQgAAEIQAACEEh/ApQQAhCAAAQgAIFSJYAAvVTxEjkEIAABCEAAAgUlgD8IQAACEIAABCAAAQhAAAIQgAAE0p8AJYQABCAAAQikOgEE6KleQ+QPAhCAAAQgAIGKQIA8QgACEIAABCAAAQhAAAIQgAAEIJD+BCghBCAAAQhUAgII0CtBJVNECEAAAhCAAAQgkDcBXCEAAQhAAAIQgAAEIAABCEAAAhBIfwKUEAIQgAAECkIAAXpBKOEHAhCAAAQgAAEIQCB1CZAzCEAAAhCAAAQgAAEIQAACEIAABNKfACWEAAQgUEYEEKCXEWiSgQAEIAABCEAAAhCAQDIC2EEAAhCAAAQgAAEIQAACEIAABCCQ/gQoIQQgUHEIIECvOHVFTiEAAQhAAAIQgAAEIJBqBMgPBCAAAQhAAAIQgAAEIAABCEAAAulPgBJCoFIRQIBeqaqbwkIAAhCAAAQgAAEIQAACGwiggwAEIAABCEAAAhCAAAQgAAEIQCD9CVBCCBSOAAL0wvHCNwQgAAEIQAACEIAABCAAgdQgQC4gAAEIQAACEIAABCAAAQhAAAIQSH8ClLDMCSBAL3PkJAgBCEAAAhCAAAQgAAEIQAACEIAABCAAAQhAAAIQgAAEIAABCEAg/QlUxBIiQK+ItUaeIQABCEAAAhCAAAQgAAEIQKA8CZA2BCAAAQhAAAIQgAAEIAABCEAAAmlKICJAT9MSUiwIQAACEIAABCAAAQhAAAIQgAAEIgTQQgACEIAABCAAAQhAAAIQgAAEIJAbgfQRoOdWQuwhAAEIQAACEIAABCAAAQhAAAIQSB8ClAQCEIAABCAAAQhAAAIQgAAEIFCKBBCglyLcwkSNXwhAAAIQgAAEIAABCEAAAhCAAATSnwAlhAAEIAABCEAAAhCAAAQgAIHUJoAAPbXrp6LkjnxCAAIQgAAEIAABCEAAAhCAAAQgkP4EKCEEIAABCEAAAhCAAAQgAIG0J4AAPe2rmALmTwAfEIAABCAAAQhAAAIQgAAEIAABCKQ/AUoIAQhAAAIQgAAEIAABCEAgfwII0PNnhA8IpDYBcgcBCEAAAhCAAAQgAAEIQAACEIBA+hOghBCAAAQgAAEIQAACEIBAmRBAgF4mmEkEAhDIjQD2EIAABCAAAQhAAAIQgAAEIAABCKQ/AUoIAQhAAAIQgAAEIACBikIAAXpFqSnyCQEIpCIB8gQBCEAAAhCAAAQgAAEIQAACEIBA+hOghBCAAAQgAAEIQAAClYgAAvRKVNkUFQIQgEA8AUwQgAAEIAABCEAAAhCAAAQgAAEIpD8BSggBCEAAAhCAAAQgUBgCCNALQwu/EIAABCCQOgTICQQgAAEIQAACEIAABCAAAQhAAALpT4ASQgACEIAABCAAgTImgAC9jIGTHAQgAAEIQEAEUBCAAAQgAAEIQAACEIAABCAAAQikPwFKCAEIQAACEIBAxSOAAL3i1Rk5hgAEIAABCJQ3AdKHAAQgAAEIQAACEIAABCAAAQhAIP0JUEIIQAACEIBApSSAAL1SVjuFhgAEIAABCFRmApQdAhCAAAQgAAEIQAACEIAABCAAgfQnQAkhAAEIQAACRSOAAL1o3AgFAQhAAAIQgAAEyocAqUIAAhCAAAQgAAEIQAACEIAABCCQ/gQoIQQgAAEIlBsBBOjlhp6EIQABCEAAAhCAQOUjQIkhAAEIQAACEIAABCAAAQhAAAIQSH8ClBACEIBARSaAAL0i1x55hwAEIAABCEAAAhAoSwKkBQEIQAACEIAABCAAAQhAAAIQgED6E6CEEIBAJSeAAL2SNwCKDwEIQAACEIAABCBQWQhQTghAAAIQgAAEIAABCEAAAhCAAATSnwAlhAAEiksAAXpxCRIeAhCAAAQgAAEIQAACECh9AqQAAQhAAAIQgAAEIAABCEAAAhCAQPoToIQQSAECCNBToBLIAgQgAAEIQAACEIAABCCQ3gQoHQQgAAEIQAACEIAABCAAAQhAAALpT4ASpgcBBOjpUY+UAgIQgAAEIAABCEAAAhCAQGkRIF4IQAACEIAABCAAAQhAAAIQgAAE0p8AJcwmgAA9GwQXCEAAAhCAAAQgAAEIQAACEEhHApQJAhCAAAQgAAEIQAACEIAABCAAgfQnUHIlRIBeciyJCQIQgAAEIAABCEAAAhCAAAQgULIEiA0CEIAABCAAAQhAAAIQgAAEIACBMiVQLgL0Mi0hiUEAAhCAAAQgAAEIQAACEIAABCBQLgRIFAIQgAAEIAABCEAAAhCAAAQgUNEIIEAvfI0RAgIQgAAEIAABCEAAAhCAAAQgAIH0J0AJIQABCEAAAhCAAAQgAAEIQKASEkCAXukqnQJDAAIQgAAEIAABCEAAAhCAAAQgkP4EKCEEIAABCEAAAhCAAAQgAAEIFIUAAvSiUCNM+REgZQhAAAIQgAAEIAABCEAAAhCAAATSnwAlhAAEIAABCEAAAhCAAAQgUE4EEKCXE3iSrZwEKDUEIAABCEAAAhCAAAQgAAEIQAAC6RiSrs4AAAxKSURBVE+AEkIAAhCAAAQgAAEIQAACFZcAAvSKW3fkHAJlTYD0IAABCEAAAhCAAAQgAAEIQAACEEh/ApQQAhCAAAQgAAEIQAAClZoAAvRKXf0UHgKViQBlhQAEIAABCEAAAhCAAAQgAAEIQCD9CVBCCEAAAhCAAAQgAAEIFI8AAvTi8SM0BCAAgbIhQCoQgAAEIAABCEAAAhCAAAQgAAEIpD8BSggBCEAAAhCAAAQgUO4EEKCXexWQAQhAAALpT4ASQgACEIAABCAAAQhAAAIQgAAEIJD+BCghBCAAAQhAAAIQSAcCCNDToRYpAwQgAAEIlCYB4oYABCAAAQhAAAIQgAAEIAABCEAg/QlQQghAAAIQgAAEIOAIIEB3GPiBAAQgAAEIpCsBygUBCEAAAhCAAAQgAAEIQAACEIBA+hOghBCAAAQgAAEIlBQBBOglRZJ4IAABCEAAAhAoeQLECAEIQAACEIAABCAAAQhAAAIQgED6E6CEEIAABCAAgRQigAA9hSqDrEAAAhCAAAQgkF4EKA0EIAABCEAAAhCAAAQgAAEIQAAC6U+AEkIAAhCAQHoRQICeXvVJaSAAAQhAAAIQgEBJESAeCEAAAhCAAAQgAAEIQAACEIAABNKfACWEAAQgAIEEAgjQE4BghAAEIAABCEAAAhBIBwKUAQIQgAAEIAABCEAAAhCAAAQgAIH0J0AJIQABCJQ8AQToJc+UGCEAAQhAAAIQgAAEIFA8AoSGAAQgAAEIQAACEIAABCAAAQhAIP0JUEIIQCAlCSBAT8lqIVMQgAAEIAABCEAAAhCouATIOQQgAAEIQAACEIAABCAAAQhAAALpT4ASQiBdCSBAT9eapVwQgAAEIAABCEAAAhCAQFEIEAYCEIAABCAAAQhAAAIQgAAEIACB9CdACSGQKwEE6LmiwQECEIAABCAAAQhAAAIQgEBFI0B+IQABCEAAAhCAAAQgAAEIQAACEEh/ApSwNAkgQC9NusQNAQhAAAIQgAAEIAABCEAAAgUngE8IQAACEIAABCAAAQhAAAIQgAAE0p9AipcQAXqKVxDZgwAEIAABCEAAAhCAAAQgAIGKQYBcQgACEIAABCAAAQhAAAIQgAAEIFDxCeQnQK/4JaQEEIAABCAAAQhAAAIQgAAEIAABCORHAHcIQAACEIAABCAAAQhAAAIQgAAEQgJpLkAPS8g/BCAAAQhAAAIQgAAEIAABCEAAAmlOgOJBAAIQgAAEIAABCEAAAhCAAARKhgAC9JLhWDqxECsEIAABCEAAAhCAAAQgAAEIQAAC6U+AEkIAAhCAAAQgAAEIQAACEIBAyhBAgJ4yVZF+GaFEEIAABCAAAQhAAAIQgAAEIAABCKQ/AUoIAQhAAAIQgAAEIAABCEAgnQggQE+n2qQsJUmAuCAAAQhAAAIQgAAEIAABCEAAAhBIfwKUEAIQgAAEIAABCEAAAhCAQBwBBOhxODBAIF0IUA4IQAACEIAABCAAAQhAAAIQgAAE0p8AJYQABCAAAQhAAAIQgAAESpoAAvSSJkp8EIBA8QkQAwQgAAEIQAACEIAABCAAAQhAAALpT4ASQgACEIAABCAAAQhAIAUJIEBPwUohSxCAQMUmQO4hAAEIQAACEIAABCAAAQhAAAIQSH8ClBACEIAABCAAAQhAID0JIEBPz3qlVBCAAASKSoBwEIAABCAAAQhAAAIQgAAEIAABCKQ/AUoIAQhAAAIQgAAEIJALAQTouYDBGgIQgAAEKiIB8gwBCEAAAhCAAAQgAAEIQAACEIBA+hP4f/bsJCeSKAYCKPc/NSqxQEJATvUHh9+iW92QmXY8L0NCAgQIECBAgMA4AQX6OFtfJkCAAAEC1wQ8TYAAAQIECBAgQIAAAQIECOQLSEiAAAECBAhsLaBA3/o8liNAgAABAnUEbEqAAAECBAgQIECAAAECBAjkC0hIgAABAgTSBRTo6ReWjwABAgQIEDgj4BkCBAgQIECAAAECBAgQIEAgX0BCAgQIECBwKKBAPyTyAAECBAgQIEBgdwH7ESBAgAABAgQIECBAgAABAvkCEhIgQIDADAEF+gxlMwgQIECAAAECBP4W8BsCBAgQIECAAAECBAgQIEAgX0BCAgQIFBFQoBc5lDUJECBAgAABAgT2FLAVAQIECBAgQIAAAQIECBAgkC8gIQECfQQU6H1uLSkBAgQIECBAgACBnwL+T4AAAQIECBAgQIAAAQIECOQLSEiAwAUBBfoFLI8SIECAAAECBAgQILCTgF0IECBAgAABAgQIECBAgACBfAEJCcwVUKDP9TaNAAECBAgQIECAAAECXwL+JkCAAAECBAgQIECAAAECBPIFJCwnoEAvdzILEyBAgAABAgQIECBAYL2ADQgQIECAAAECBAgQIECAAIF8gY4JFegdry4zAQIECBAgQIAAAQIEegtIT4AAAQIECBAgQIAAAQIECOQL3EqoQL/F5iUCBAgQIECAAAECBAgQILBKwFwCBAgQIECAAAECBAgQIEBglMA+BfqohL5LgAABAgQIECBAgAABAgQI7CNgEwIECBAgQIAAAQIECBAgsLGAAv1Nx/EZAgQIECBAgAABAgQIECBAIF9AQgIECBAgQIAAAQIECBDIFlCgZ9/3bDrPESBAgAABAgQIECBAgAABAvkCEhIgQIAAAQIECBAgQIDAgYAC/QDIrysI2JEAAQIECBAgQIAAAQIECBDIF5CQAAECBAgQIECAAAEC4wUU6OONTSDwv4DfEiBAgAABAgQIECBAgAABAvkCEhIgQIAAAQIECBAgUEJAgV7iTJYksK+AzQgQIECAAAECBAgQIECAAIF8AQkJECBAgAABAgQIdBFQoHe5tJwECPwm4GcECBAgQIAAAQIECBAgQIBAvoCEBAgQIECAAAECBE4LKNBPU3mQAAECuwnYhwABAgQIECBAgAABAgQIEMgXkJAAAQIECBAgQGCmgAJ9prZZBAgQIPAt4F8ECBAgQIAAAQIECBAgQIBAvoCEBAgQIECAAIFiAgr0YgezLgECBAjsIWALAgQIECBAgAABAgQIECBAIF9AQgIECBAgQKCfgAK9380lJkCAAAECBAgQIECAAAECBAgQIECAAIF8AQkJECBAgACBGwIK9BtoXiFAgAABAgRWCphNgAABAgQIECBAgAABAgQI5AtISIAAAQIE1ggo0Ne4m0qAAAECBAh0FZCbAAECBAgQIECAAAECBAgQyBeQkAABAgTKCijQy57O4gQIECBAgACB+QImEiBAgAABAgQIECBAgAABAvkCEhIgQKCzgAK98/VlJ0CAAAECBAj0EpCWAAECBAgQIECAAAECBAgQyBeQkAABAo8EFOiP+LxMgAABAgQIECBAYJaAOQQIECBAgAABAgQIECBAgEC+gIQECKwWUKCvvoD5BAgQIECAAAECBDoIyEiAAAECBAgQIECAAAECBAjkC0hIIEBAgR5wRBEIECBAgAABAgQIEBgr4OsECBAgQIAAAQIECBAgQIBAvoCEBF4CCvSXgj8ECBAgQIAAAQIECBDIFZCMAAECBAgQIECAAAECBAgQyBeQ8E0CCvQ3QfoMAQIECBAgQIAAAQIECIwQ8E0CBAgQIECAAAECBAgQIEAgX2CfhAr0fW5hEwIECBAgQIAAAQIECBBIE5CHAAECBAgQIECAAAECBAgQKCVwq0AvldCyBAgQIECAAAECBAgQIECAwC0BLxEgQIAAAQIECBAgQIAAgW4CHQv0bjeWlwABAgQIECBAgAABAgQIdBSQmQABAgQIECBAgAABAgQIXBZQoF8mW/2C+QQIECBAgAABAgQIECBAgEC+gIQECBAgQIAAAQIECBAgsEJAgb5CvfNM2QkQIECAAAECBAgQIECAAIF8AQkJECBAgAABAgQIECBQVECBXvRw1l4jYCoBAgQIECBAgAABAgQIECCQLyAhAQIECBAgQIAAAQJ9BRTofW8veT8BiQkQIECAAAECBAgQIECAAIF8AQkJECBAgAABAgQIEHggoEB/gOdVAgRmCphFgAABAgQIECBAgAABAgQI5AtISIAAAQIECBAgQGCtgAJ9rb/pBAh0EZCTAAECBAgQIECAAAECBAgQyBeQkAABAgQIECBAoLyAAr38CQUgQIDAeAETCBAgQIAAAQIECBAgQIAAgXwBCQkQIECAAAECBD4+PgEAAP//HvOv1QAAAAZJREFUAwBPUocdDem7jgAAAABJRU5ErkJggg==">
          <a:extLst>
            <a:ext uri="{FF2B5EF4-FFF2-40B4-BE49-F238E27FC236}">
              <a16:creationId xmlns:a16="http://schemas.microsoft.com/office/drawing/2014/main" id="{00000000-0008-0000-07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86375"/>
          <a:ext cx="304800" cy="304800"/>
        </a:xfrm>
        <a:prstGeom prst="rect">
          <a:avLst/>
        </a:prstGeom>
        <a:noFill/>
      </xdr:spPr>
    </xdr:sp>
    <xdr:clientData fLocksWithSheet="0"/>
  </xdr:oneCellAnchor>
  <xdr:oneCellAnchor>
    <xdr:from>
      <xdr:col>3</xdr:col>
      <xdr:colOff>0</xdr:colOff>
      <xdr:row>32</xdr:row>
      <xdr:rowOff>0</xdr:rowOff>
    </xdr:from>
    <xdr:ext cx="304800" cy="314325"/>
    <xdr:sp macro="" textlink="">
      <xdr:nvSpPr>
        <xdr:cNvPr id="8194" name="AutoShape 2" descr="data:image/png;base64,iVBORw0KGgoAAAANSUhEUgAAB9AAAAsOCAYAAAB1rNNSAAAQAElEQVR4AezdB7zP1R/H8c/PJbSUJpWG9i5FoaIyMjKSnV2ZWaGMkFFm9g5JRlEyUiQqaZGGSlFKQ9KgpX+h/+99+H79fndw9/3d73318P3d7zzfc57nfL9XPuecX67/+A8BBBBAAAEEEEAAAQQQQAABBIIuQPkQQAABBBBAAAEEEEAAAQQQQCAZArksW/9H5hFAAAEEEEAAAQQQQAABBBBAIPgClBABBBBAAAEEEEAAAQQQQACBzBEggJ45zonfhb0IIIAAAggggAACCCCAAAIIIBB8AUqIAAIIIIAAAggggAACCCCQbQQIoGebqoq9jJIjBBBAAAEEEEAAAQQQQAABBBAIvgAlRAABBBBAAAEEEEAAAQRykgAB9JxU25Q1UoB1BBBAAAEEEEAAAQQQQAABBBAIvgAlRAABBBBAAAEEEEAAAQRSJEAAPUVcnIxArAiQDwQQQAABBBBAAAEEEEAAAQQQCL4AJUQAAQQQQAABBBBAAIHMFiCAntni3A8BBMwwQAABBBBAAAEEEEAAAQQQQACB4AtQQgQQQAABBBBAAAEEsqEAAfRsWGlkGQEEslaAuyOAAAIIIIAAAggggAACCCCAQPAFKCECCCCAAAIIIIBAzhQggJ4z651SI4BAzhWg5AgggAACCCCAAAIIIIAAAgggEHwBSogAAggggAACCCCQSgEC6KmE4zIEEEAAgawQ4J4IIIAAAggggAACCCCAAAIIIBB8AUqIAAIIIIAAAghknQAB9Kyz584IIIAAAjlNgPIigAACCCCAAAIIIIAAAggggEDwBSghAggggAACCGRrAQLo2br6yDwCCCCAAAKZJ8CdEEAAAQQQQAABBBBAAAEEEEAg+AKUEAEEEEAAgZwuQAA9p7cAyo8AAggggEDOEKCUCCCAAAIIIIAAAggggAACCCAQfAFKiAACCCCAQJoFCKCnmZAEEEAAAQQQQACBjBYgfQQQQAABBBBAAAEEEEAAAQQQCL4AJUQAAQQQiAUBAuixUAvkAQEEEEAAAQQQCLIAZUMAAQQQQAABBBBAAAEEEEAAgeALUEIEEEAgIAIE0ANSkRQDAQQQQAABBBBAIGMESBUBBBBAAAEEEEAAAQQQQAABBIIvQAkRQAABT4AAuifBTwQQQAABBBBAAAEEgidAiRBAAAEEEEAAAQQQQAABBBBAIPgClBABBNJRgAB6OmKSFAIIIIAAAggggAACCKSnAGkhgAACCCCAAAIIIIAAAggggEDwBSghArElQAA9tuqD3CCAAAIIIIAAAggggEBQBCgHAggggAACCCCAAAIIIIAAAggEX4ASBk6AAHrgqpQCIYAAAggggAACCCCAAAJpFyAFBBBAAAEEEEAAAQQQQAABBBAIvgAlTChAAD2hCXsQQAABBBBAAAEEEEAAAQSytwC5RwABBBBAAAEEEEAAAQQQQACB4AtkSAkJoGcIK4kigAACCCCAAAIIIIAAAgggkFoBrkMAAQQQQAABBBBAAAEEEEAAgawSyLwAelaVkPsigAACCCCAAAIIIIAAAggggEDmCXAnBBBAAAEEEEAAAQQQQAABBLKxAAH0ZFYepyGAAAIIIIAAAggggAACCCCAQPAFKCECCCCAAAIIIIAAAggggEDOFiCAnjPqn1IigAACCCCAAAIIIIAAAggggEDwBSghAggggAACCCCAAAIIIIBAGgUIoKcRkMszQ4B7IIAAAggggAACCCCAAAIIIIBA8AUoIQIIIIAAAggggAACCCCQ9QIE0LO+DshB0AUoHwIIIIAAAggggAACCCCAAAIIBF+AEiKAAAIIIIAAAggggEAgBAigB6IaKQQCGSdAyggggAACCCCAAAIIIIAAAgggEHwBSogAAggggAACCCCAAAL7BQig73fgEwEEgilAqRBAAAEEEEAAAQQQQAABBBBAIPgClBABBBBAAAEEEEAAgXQTIICebpQkhAACCKS3AOkhgAACCCCAAAIIIIAAAggggEDwBSghAggggAACCCCAQCwJEECPpdogLwgggECQBCgLAggggAACCCCAAAIIIIAAAggEX4ASIoAAAggggAACARMggB6wCqU4CCCAAALpI0AqCCCAAAIIIIAAAggggAACCCAQfAFKiAACCCCAAAIIxBcggB5fhG0EEEAAAQSyvwAlQAABBBBAAAEEEEAAAQQQQACB4AtQQgQQQAABBBDIAAEC6BmASpIIIIAAAgggkBYBrkUAAQQQQAABBBBAAAEEEEAAgeALUEIEEEAAAQRiU4AAemzWC7lCAAEEEEAAgewqQL4RQAABBBBAAAEEEEAAAQQQQCD4ApQQAQQQQCCwAgTQA1u1FAwBBBBAAAEEEEi5AFcggAACCCCAAAIIIIAAAggggEDwBSghAggggEDSAgTQk7bhCAIIIIAAAggggED2EiC3CCCAAAIIIIAAAggggAACCCAQfAFKiAACCGSoAAH0DOUlcQQQQAABBBBAAAEEkivAeQgggAACCCCAAAIIIIAAAgggEHwBSogAArEuQAA91muI/CGAAAIIIIAAAgggkB0EyCMCCCCAAAIIIIAAAggggAACCARfgBIikAMECKDngEqmiAgggAACCCCAAAIIIHBoAY4igAACCCCAAAIIIIAAAggggEDwBSghAskRIICeHCXOQQABBBBAAAEEEEAAAQRiV4CcIYAAAggggAACCCCAAAIIIIBA8AUoYSYJEEDPJGhugwACCCCAAAIIIIAAAgggkJgA+xBAAAEEEEAAAQQQQAABBBBAIPgC2aeEBNCzT12RUwQQQAABBBBAAAEEEEAAgVgTID8IIIAAAggggAACCCCAAAIIIBAogUQD6IEqIYVBAAEEEEAAAQQQQAABBBBAAIFEBdiJAAIIIIAAAggggAACCCCAAALRAkEMoEeXkC0EEEAAAQQQQAABBBBAAAEEEAiiAGVCAAEEEEAAAQQQQAABBBBAIN0FCKCnO2laE+R6BBBAAAEEEEAAAQQQQAABBBAIvgAlRAABBBBAAAEEEEAAAQQQiEUBAuixWCvZOU/kHQEEEEAAAQQQQAABBBBAAAEEgi9ACRFAAAEEEEAAAQQQQACBgAoQQA9oxVKs1AlwFQIIIIAAAggggAACCCCAAAIIBF+AEiKAAAIIIIAAAggggAACSQkQQE9Khv0IZD8BcowAAggggAACCCCAAAIIIIAAAsEXoIQIIIAAAggggAACCCCQgQIE0DMQl6QRQCAlApyLAAIIIIAAAggggAACCCCAAALBF6CECCCAAAIIIIAAAgjEtgAB9NiuH3KHAALZRYB8IoAAAggggAACCCCAAAIIIIBA8AUoIQIIIIAAAggggEDgBQigB76KKSACCCBweAHOQAABBBBAAAEEEEAAAQQQQACB4AtQQgQQQAABBBBAAIHDCxBAP7wRZyCAAAIIxLYAuUMAAQQQQAABBBBAAAEEEEAAgeALUEIEEEAAAQQQQCBTBAigZwozN0EAAQQQQCApAfYjgAACCCCAAAIIIIAAAggggEDwBSghAggggAACCGQXAQLo2aWmyCcCCCCAAAKxKECeEEAAAQQQQAABBBBAAAEEEEAg+AKUEAEEEEAAgRwkQAA9B1U2RUUAAQQQQACBaAG2EEAAAQQQQAABBBBAAAEEEEAg+AKUEAEEEEAAgZQIEEBPiRbnIoAAAggggAACsSNAThBAAAEEEEAAAQQQQAABBBBAIPgClBABBBBAIJMFCKBnMji3QwABBBBAAAEEEJAACwIIIIAAAggggAACCCCAAAIIBF+AEiKAAALZT4AAevarM3KMAAIIIIAAAgggkNUC3B8BBBBAAAEEEEAAAQQQQAABBIIvQAkRQCBHChBAz5HVTqERQAABBBBAAAEEcrIAZUcAAQQQQAABBBBAAAEEEEAAgeALUEIEEEidAAH01LlxFQIIIIAAAggggAACCGSNAHdFAAEEEEAAAQQQQAABBBBAAIHgC1BCBLJMgAB6ltFzYwQQQAABBBBAAAEEEMh5ApQYAQQQQAABBBBAAAEEEEAAAQSCL0AJs7MAAfTsXHvkHQEEEEAAAQQQQAABBBDITAHuhQACCCCAAAIIIIAAAggggAACwRfI4SUkgJ7DGwDFRwABBBBAAAEEEEAAAQRyigDlRAABBBBAAAEEEEAAAQQQQACB4AuktYQE0NMqyPUIIIAAAggggAACCCCAAAIIZLwAd0AAAQQQQAABBBBAAAEEEEAAgUwQyOIAeiaUkFsggAACCCCAAAIIIIAAAggggEAWC3B7BBBAAAEEEEAAAQQQQAABBLKHAAH0tNQT1yKAAAIIIIAAAggggAACCCCAQPAFKCECCCCAAAIIIIAAAggggECOESCAnmOqOmFB2YMAAggggAACCCCAAAIIIIAAAsEXoIQIIIAAAggggAACCCCAAALJFyCAnnwrzowtAXKDAAIIIIAAAggggAACCCCAAALBF6CECCCAAAIIIIAAAggggECmChBAz1RuboaAJ8BPBBBAAAEEEEAAAQQQQAABBBAIvgAlRAABBBBAAAEEEEAAgewmQAA9u9UY+UUgFgTIAwIIIIAAAggggAACCCCAAAIIBF+AEiKAAAIIIIAAAgggkAMFCKDnwEqnyAjkdAHKjwACCCCAAAIIIIAAAggggAACwReghAgggAACCCCAAAIIpEaAAHpq1LgGAQQQyDoB7owAAggggAACCCCAAAIIIIAAAsEXoIQIIIAAAggggAACWSRAAD2L4LktAgggkDMFKDUCCCCAAAIIIIAAAggggAACCARfgBIigAACCCCAAALZV4AAevatO3KOAAIIIJDZAtwPAQQQQAABBBBAAAEEEEAAAQSCL0AJEUAAAQQQQCBHCxBAz9HVT+ERQAABBHKSAGVFAAEEEEAAAQQQQAABBBBAAIHgC1BCBBBAAAEEEEibAAH0tPlxNQIIIIAAAghkjgB3QQABBBBAAAEEEEAAAQQQQACB4AtQQgQQQAABBLJcgAB6llcBGUAAAQQQQACB4AtQQgQQQAABBBBAAAEEEEAAAQQQCL4AJUQAAQQQCIIAAfQg1CJlQAABBBBAAAEEMlKAtBFAAAEEEEAAAQQQQAABBBBAIPgClBABBBBAwAkQQHcMfCCAAAIIIIAAAggEVYByIYAAAggggAACCCCAAAIIIIBA8AUoIQIIIJBeAgTQ00uSdBBAAAEEEEAAAQQQSH8BUkQAAQQQQAABBBBAAAEEEEAAgeALUEIEEIghAQLoMVQZZAUBBBBAAAEEEEAAgWAJUBoEEEAAAQQQQAABBBBAAAEEEAi+ACVEIFgCBNCDVZ+UBgEEEEAAAQQQQAABBNJLgHQQQAABBBBAAAEEEEAAAQQQQCD4ApQQgXgCBNDjgbCJAAIIIIAAAggggAACCARBgDIggAACCCCAAAIIIIAAAggggEDwBShh+gsQQE9/U1JEAAEEEEAAAQQQQAABBBBIQWFvUgAAEABJREFUmwBXI4AAAggggAACCCCAAAIIIIBA8AVisoQE0GOyWsgUAggggAACCCCAAAIIIIBA9hUg5wgggAACCCCAAAIIIIAAAgggkF0Fkh9Az64lJN8IIIAAAggggAACCCCAAAIIIJB8Ac5EAAEEEEAAAQQQQAABBBBAIAcL5JgAeg6uY4qOAAIIIIAAAggggAACCCCAQI4RoKAIIIAAAggggAACCCCAAAIIpEWAAHpa9DLvWu6EAAIIIIAAAggggAACCCCAAALBF6CECCCAAAIIIIAAAggggAACWSxAAD2LKyBn3J5SIoAAAggggAACCCCAAAIIIIBA8AUoIQIIIIAAAggggAACCCCQ/QUIoGf/OqQEGS1A+ggggAACCCCAAAIIIIAAAgggEHwBSogAAggggAACCCCAAAIIhAUIoIcR+INAkAUoGwIIIIAAAggggAACCCCAAAIIBF+AEiKAAAIIIIAAAggggED6CBBATx9HUkEAgYwRIFUEEEAAAQQQQAABBBBAAAEEEAi+ACVEAAEEEEAAAQQQQCBmBAigx0xVkBEEEAieACVCAAEEEEAAAQQQQAABBBBAAIHgC1BCBBBAAAEEEEAAgSAJEEAPUm1SFgQQQCA9BUgLAQQQQAABBBBAAAEEEEAAAQSCL0AJEUAAAQQQQAABBKIECKBHcbCBAAIIIBAUAcqBAAIIIIAAAggggAACCCCAAALBF6CECCCAAAIIIIBAegsQQE9vUdJDAAEEEEAg7QKkgAACCCCAAAIIIIAAAggggAACwReghAgggAACCCAQgwIE0GOwUsgSAggggAAC2VuA3COAAAIIIIAAAggggAACCCCAQPAFKCECCCCAAALBFCCAHsx6pVQIIIAAAgggkFoBrkMAAQQQQAABBBBAAAEEEEAAgeALUEIEEEAAAQSSECCAngQMuxFAAAEEEEAAgewoQJ4RQAABBBBAAAEEEEAAAQQQQCD4ApQQAQQQQCDjBAigZ5wtKSOAAAIIIIAAAgikTICzEUAAAQQQQAABBBBAAAEEEEAg+AKUEAEEEIhpAQLoMV09ZA4BBBBAAAEEEEAg+wiQUwQQQAABBBBAAAEEEEAAAQQQCL4AJUQAgaALEEAPeg1TPgQQQAABBBBAAAEEkiPAOQgggAACCCCAAAIIIIAAAgggEHwBSogAAocVIIB+WCJOQAABBBBAAAEEEEAAgVgXIH8IIIAAAggggAACCCCAAAIIIBB8AUqIQGYIEEDPDGXugQACCCCAAAIIIIAAAggkLcARBBBAAAEEEEAAAQQQQAABBBAIvgAlzCYCBNCzSUWRTQQQQAABBBBAAAEEEEAgNgXIFQIIIIAAAggggAACCCCAAAIIBF8g55SQAHrOqWtKigACCCCAAAIIIIAAAgggEF+AbQQQQAABBBBAAAEEEEAAAQQQCL5ACkpIAD0FWJyKAAIIIIAAAggggAACCCCAQCwJkBcEEEAAAQQQQAABBBBAAAEEEEhfgVgMoKdvCUkNAQQQQAABBBBAAAEEEEAAAQRiUYA8IYAAAggggAACCCCAAAIIIBBzAgTQ071KSBABBBBAAAEEEEAAAQQQQAABBIIvQAkRQAABBBBAAAEEEEAAAQSCKEAAPYi1mpYycS0CCCCAAAIIIIAAAggggAACCARfgBIigAACCCCAAAIIIIAAAggkKkAAPVEWdmZXAfKNAAIIIIAAAggggAACCCCAAALBF6CECCCAAAIIIIAAAggggEBGCRBAzyhZ0kUg5QJcgQACCCCAAAIIIIAAAggggAACwReghAgggAACCCCAAAIIIBDDAgTQY7hyyBoC2UuA3CKAAAIIIIAAAggggAACCCCAQPAFKCECCCCAAAIIIIAAAsEWIIAe7PqldAggkFwBzkMAAQQQQAABBBBAAAEEEEAAgeALUEIEEEAAAQQQQAABBA4jQAD9MEAcRgABBLKDAHlEAAEEEEAAAQQQQAABBBBAAIHgC1BCBBBAAAEEEEAAgYwXIICe8cbcAQEEEEDg0AIcRQABBBBAAAEEEEAAAQQQQACB4AtQQgQQQAABBBBAIFsIEEDPFtVEJhFAAAEEYleAnCGAAAIIIIAAAggggAACCCCAQPAFKCECCCCAAAII5BQBAug5paYpJwIIIIAAAokJsA8BBBBAAAEEEEAAAQQQQAABBIIvQAkRQAABBBBAINkCBNCTTcWJCCCAAAIIIBBrAuQHAQQQQAABBBBAAAEEEEAAAQSCL0AJEUAAAQQQyEwBAuiZqc29EEAAAQQQQACBgwKsIYAAAggggAACCCCAAAIIIIBA8AUoIQIIIIBANhMggJ7NKozsIoAAAggggAACsSFALhBAAAEEEEAAAQQQQAABBBBAIPgClBABBBDIeQIE0HNenVNiBBBAAAEEEEAAAQQQQAABBBBAAAEEEEAAAQQQQCD4ApQQAQQQSIUAAfRUoHEJAggggAACCCCAAAJZKcC9EUAAAQQQQAABBBBAAAEEEEAg+AKUEAEEskaAAHrWuHNXBBBAAAEEEEAAAQRyqgDlRgABBBBAAAEEEEAAAQQQQACB4AtQQgSyrQAB9GxbdWQcAQQQQAABBBBAAAEEMl+AOyKAAAIIIIAAAggggAACCCCAQPAFKGFOFiCAnpNrn7IjgAACCCCAAAIIIIBAzhKgtAgggAACCCCAAAIIIIAAAgggEHwBSpgmAQLoaeLjYgQQQAABBBBAAAEEEEAAgcwS4D4IIIAAAggggAACCCCAAAIIIBB8gawuIQH0rK4B7o8AAggggAACCCCAAAIIIJATBCgjAggggAACCCCAAAIIIIAAAghkA4E0BtCzQQnJIgIIIIAAAggggAACCCCAAAIIpFGAyxFAAAEEEEAAAQQQQAABBBDIGQI5O4CeM+qYUiKAAAIIIIAAAggggAACCCCQswUoPQIIIIAAAggggAACCCCAAALJFCCAnkyoWDyNPCGAAAIIIIAAAggggAACCCCAQPAFKCECCCCAAAIIIIAAAggggEDmCRBAzzxr7hQtwBYCCCCAAAIIIIAAAggggAACCARfgBIigAACCCCAAAIIIIAAAtlKgAB6tqouMhs7AuQEAQQQQAABBBBAAAEEEEAAAQSCL0AJEUAAAQQQQAABBBBAIKcJEEDPaTVOeRGQAAsCCCCAAAIIIIAAAggggAACCARfgBIigAACCCCAAAIIIIBAigUIoKeYjAsQQCCrBbg/AggggAACCCCAAAIIIIAAAggEX4ASIoAAAggggAACCCCQFQIE0LNCnXsigEBOFqDsCCCAAAIIIIAAAggggAACCCAQfAFKiAACCCCAAAIIIJBNBQigZ9OKI9sIIIBA1ghwVwQQQAABBBBAAAEEEEAAAQQQCL4AJUQAAQQQQAABBHKuAAH0nFv3lBwBBBDIeQKUGAEEEEAAAQQQQAABBBBAAAEEgi9ACRFAAAEEEEAAgTQIEEBPAx6XIoAAAgggkJkC3AsBBBBAAAEEEEAAAQQQQAABBIIvQAkRQAABBBBAIGsFCKBnrT93RwABBBBAIKcIUE4EEEAAAQQQQAABBBBAAAEEEAi+ACVEAAEEEEAg2wsQQM/2VUgBEEAAAQQQQCDjBbgDAggggAACCCCAAAIIIIAAAggEX4ASIoAAAgggYEYAnVaAAAIIIIAAAggEXYDyIYAAAggggAACCCCAAAIIIIBA8AUoIQIIIIBAuggQQE8XRhJBAAEEEEAAAQQQyCgB0kUAAQQQQAABBBBAAAEEEEAAgeALUEIEEEAgVgQIoMdKTZAPBBBAAAEEEEAAgSAKUCYEEEAAAQQQQAABBBBAAAEEEAi+ACVEAIEACRBAD1BlUhQEEEAAAQQQQAABBNJXgNQQQAABBBBAAAEEEEAAAQQQQCD4ApQQAQQiBQigR2qwjgACCCCAAAIIIIAAAsERoCQIIIAAAggggAACCCCAAAIIIBB8AUqIQDoLEEBPZ1CSQwABBBBAAAEEEEAAAQTSQ4A0EEAAAQQQQAABBBBAAAEEEEAg+AKUMPYECKDHXp2QIwQQQAABBBBAAAEEEEAguwuQfwQQQAABBBBAAAEEEEAAAQQQCL5AIEtIAD2Q1UqhEEAAAQQQQAABBBBAAAEEUi/AlQgggAACCCCAAAIIIIAAAgggEHyBxEtIAD1xF/YigAACCCCAAAIIIIAAAgggkD0FyDUCCCCAAAIIIIAAAggggAACCKRaINsE0FNdQi5EAAEEEEAAAQQQQAABBBBAAIFsI0BGEUAAAQQQQAABBBBAAAEEEMhKAQLomaPPXRBAAAEEEEAAAQQQQAABBBBAIPgClBABBBBAAAEEEEAAAQQQQCCbCxBAz+YVmDnZ5y4IIIAAAggggAACCCCAAAIIIBB8AUqIAAIIIIAAAggggAACCCBAAJ02EHwBSogAAggggAACCCCAAAIIIIAAAsEXoIQIIIAAAggggAACCCCAQDoIEEBPB0SSQCAjBUgbAQQQQAABBBBAAAEEEEAAAQSCL0AJEUAAAQQQQAABBBBAIDYECKDHRj2QCwSCKkC5EEAAAQQQQAABBBBAAAEEEEAg+AKUEAEEEEAAAQQQQACBwAgQQA9MVVIQBBBIfwFSRAABBBBAAAEEEEAAAQQQQACB4AtQQgQQQAABBBBAAAEEDgoQQD9owRoCCCAQLAFKgwACCCCAAAIIIIAAAggggAACwReghAgggAACCCCAAALpKkAAPV05SQwBBBBAIL0ESAcBBBBAAAEEEEAAAQQQQAABBIIvQAkRQAABBBBAAIFYEyCAHms1Qn4QQAABBIIgQBkQQAABBBBAAAEEEEAAAQQQQCD4ApQQAQQQQAABBAIoQAA9gJVKkRBAAAEEEEibAFcjgAACCCCAAAIIIIAAAggggEDwBSghAggggAACCCQmQAA9MRX2IYAAAggggED2FSDnCCCAAAIIIIAAAggggAACCCAQfAFKiAACCCCAQAYJEEDPIFiSRQABBBBAAAEEUiPANQgggAACCCCAAAIIIIAAAgggEHwBSogAAgggELsCBNBjt27IGQIIIIAAAgggkN0EyC8CCCCAAAIIIIAAAggggAACCARfgBIigAACgRYggB7o6qVwCCCAAAIIIIAAAskX4EwEEEAAAQQQQAABBBBAAAEEEAi+ACVEAAEEDi1AAP3QPhxFAAEEEEAAAQQQQCB7CJBLBBBAAAEEEEAAAQQQQAABBBAIvgAlRACBDBcggJ7hxNwAAQQQQAABBBBAAAEEDifAcQQQQAABBBBAAAEEEEAAAQQQCL4AJUQgOwgQQM8OtUQeEUAAAQQQQAABBBBAIJYFyBsCCCCAAAIIIIAAAggggAACCARfgBLmEAEC6DmkoikmAggggAACCCCAAAIIIJC4AHsRQAABBBBAAAEEEEAAAQQQQCD4ApQwuQIE0JMrxXkIIIAAAggggAACCCCAAAKxJ0COEEAAAQQQQAABBJsvn7oAABAASURBVBBAAAEEEEAg+AKZWEIC6JmIza0QQAABBBBAAAEEEEAAAQQQiBRgHQEEEEAAAQQQQAABBBBAAAEEYksgIwLosVVCcoMAAggggAACCCCAAAIIIIAAAhkhQJoIIIAAAggggAACCCCAAAIIBE6AAHqCKmUHAggggAACCCCAAAIIIIAAAggEX4ASIoAAAggggAACCCCAAAIIIJBQgAB6QpPsvYfcI4AAAggggAACCCCAAAIIIIBA8AUoIQIIIIAAAggggAACCCCAQIYIEEDPEFYSTa0A1yGAAAIIIIAAAggggAACCCCAQPAFKCECCCCAAAIIIIAAAgggEKsCBNBjtWbIV3YUIM8IIIAAAggggAACCCCAAAIIIBB8AUqIAAIIIIAAAggggAACARYggB7gyqVoCKRMgLMRQAABBBBAAAEEEEAAAQQQQCD4ApQQAQQQQAABBBBAAAEEDiVAAP1QOhxDAIHsI0BOEUAAAQQQQAABBBBAAAEEEEAg+AKUEAEEEEAAAQQQQACBDBYggJ7BwCSPAAIIJEeAcxBAAAEEEEAAAQQQQAABBBBAIPgClBABBBBAAAEEEEAg9gUIoMd+HZFDBBBAINYFyB8CCCCAAAIIIIAAAggggAACCARfgBIigAACCCCAAAI5QoAAeo6oZgqJAAIIIJC0AEcQQAABBBBAAAEEEEAAAQQQQCD4ApQQAQQQQAABBBBIngAB9OQ5cRYCCCCAAAKxKUCuEEAAAQQQQAABBBBAAAEEEEAg+AKUEAEEEEAAAQQyTYAAeqZRcyMEEEAAAQQQiC/ANgIIIIAAAggggAACCCCAAAIIBF+AEiKAAAIIIJCdBAigZ6faIq8IIIAAAgggEEsC5AUBBBBAAAEEEEAAAQQQQAABBIIvQAkRQAABBHKYAAH0HFbhFBcBBBBAAAEEENgvwCcCCCCAAAIIIIAAAggggAACCARfgBIigAACCKRUgAB6SsU4HwEEEEAAAQQQQCDrBcgBAggggAACCCCAAAIIIIAAAggEX4ASIoAAAlkgQAA9C9C5JQIIIIAAAggggEDOFqD0CCCAAAIIIIAAAggggAACCCAQfAFKiAAC2VOAAHr2rDdyjQACCCCAAAIIIIBAVglwXwQQQAABBBBAAAEEEEAAAQQQCL4AJUQgxwoQQM+xVU/BEUAAAQQQQAABBBDIiQKUGQEEEEAAAQQQQAABBBBAAAEEgi9ACRFIvQAB9NTbcSUCCCCAAAIIIIAAAgggkLkC3A0BBBBAAAEEEEAAAQQQQAABBIIvQAmzVIAAepbyc3MEEEAAAQQQQAABBBBAIOcIUFIEEEAAAQQQQAABBBBAAAEEEAi+QHYvIQH07F6D5B8BBBBAAAEEEEAAAQQQQCAzBLgHAggggAACCCCAAAIIIIAAAggEX8AIoOeASqaICCCAAAIIIIAAAggggAACOV2A8iOAAAIIIIAAAggggAACCCCAQHIEsncAPTkl5BwEEEAAAQQQQAABBBBAAAEEEMjeAuQeAQQQQAABBBBAAAEEEEAAgUwSIICeSdCJ3YZ9CCCAAAIIIIAAAggggAACCCAQfAFKiAACCCCAAAIIIIAAAgggkH0ECKBnn7qKtZySHwQQQAABBBBAAAEEEEAAAQQQCL4AJUQAAQQQQAABBBBAAAEEcpQAAfQcVd0U9qAAawgggAACCCCAAAIIIIAAAgggEHwBSogAAggggAACCCCAAAIIpEyAAHrKvDgbgdgQIBcIIIAAAggggAACCCCAAAIIIBB8AUqIAAIIIIAAAggggAACmS5AAD3TybkhAggggAACCCCAAAIIIIAAAggggAACwReghAgggAACCCCAAAIIZEcBAuhpqLV9+/bZ9u3b7ffff09y2bFjh+3du9e/i871N8IrSkP70rL89ttvtm3btiTzkJa0U3Kt8rF58+aYyMemTZts586dWZ6XX3/91X755Zcsz4fq5ssvv4yJfMRCG1G71jOTyjaSro6qG+VFecrKRfmIhbpRPnh+o3+nyITnN9pEzwzP70ETtRGe34Meepfy+zfaI1baiOqG5zc260ZthN+/CesmVkxUP1988UW6/h1Uz2NqFr1ff/zxx5jIyzfffBMT/8+n+omF38OqT+VF71mtZ/Xy/fffUz/x/q1I9fPdd9/FxPOjf8uKlb9Px8r7TfWTyP93ZUl9/fTTTzHz/Hz++ecxk5dYaSv6Xag6yur3rNpsLP1dJVZ+F6p+9I7L6vrR/b/99tuYeX5ipX7UbvV3BPlk9aK/M8XK78JYqh+126yuG91f/88RK/UTK79/9PzEyt9Vfv755zS/3xQ3C4dI/T+qd38jvPLvv/8e9u9haifhUzPsDwH0NNDmypXL1FBmz55tSS2vv/66xcXF+XfRi3nVqlX+ttJ46aWXkrw+qXQj98+ZM8deeeWVNKURmV5q15WPDRs2xEQ+1q5da08//XSW5+WZZ56x+fPnZ3k+VDfvvfdeTOQjFtqI2vjLL78cE21EdZO5z2/i7yvlIxbqRvng+Y2uI5nw/EabLF++nOc34u8eaiM8v9FthN+/0R6x0kb0+5fnNzbrRm2E378J62bdunUx8/vmww8/zPK/y+sZ1vt18eLFMZGXN954I2bqJxZ+D6t+9CzHwv9bKC/KRyz8P7lMYql+Vq9eHRPPz4svvhgzz89HH30UEyZqK7Hw/116fp5//vl0qp/o321KOyWLZxIrz/IHH3wQE21FvwsXLFiQ5XlR/cTK39+Ul1h516p+li5dmuX1o2dNcYFYeX4+/vjjmDBRW1FsRD5ZvaxYsSJm3rWx8vyoftasWRMTbWXJkiUxUz+x8v9iqp/169fHRP08++yzaa4fdRzxA6XhFXXa0/+Dh1fdnzx58hy2rOqQ407OoA8C6GmEzZ8//yFTyJs37yGP62BkgF3bqVkUiE/Ndel9TXqUJT3ylBz39LhPdkojVuqGfCRsNTy/0SaHfH6jT80xWzw30VWdO3fu6B1ZuMXzG43P8xvtoS2eXykcXHh+D1p4a7HSRnh+vRo5+DNfvnwHN7J4LVbaiRhiJS+x9D6JFRPVT6z83YT6UW0kXGKlfmIlHxKKpecnVvISCoVEExPL4f7dM0MzGS/xWKkfZSsUio06iqW/v8VS/cRKXvhdqKcl4RIrv4NipZ1IKJbyEiv1EwrFxns21uonltqKbIK+EEAPeg1TPgQQQACBmBEgI+kj8N9//6VPQqSCAAKZLsDzm+nk3BABBBBAAAEEEEAgCwS4JQIIIIAAAghkbwEC6Nm7/sg9AggggAACmSXAfRBAAAEEEEAAAQQQQAABBBBAIPgClBABBBBAAIEcL0AAPcc3AQAQQAABBBDICQKUEQEEEEAAAQQQQAABBBBAAAEEgi9ACRFAAAEEEEi7AAH0tBuSAgIIIIAAAgggkLECpI4AAggggAACCCCAAAIIIIAAAsEXoIQIIIAAAjEhQAA9JqqBTCCAAAIIIIAAAsEVoGQIIIAAAggggAACCCCAAAIIIBB8AUqIAAIIBEWAAHoaa/Lvv/+2PHny2BFHHJFg0f4///zzsHfYs2dPgmsTSy+pfblz57a9e/emKY2k0k7JfpVXHim5JiPO9fKhnxmRfkrSjIuLMy0puSYjzpVFWttZeuRL+VAb0c/0SC8tacgjFvLB8xv97lSdxEob0bOrJS3tLD2ulYnaa3qklZY0lI9YqRv9zlN+0lKe9Lg2lp7ff/75J2b+HhALdaNnV0t61PMRRxyRaltZ8PxGv+d5fqM91EZ4fqNN9OxqiYXnd/fu3Un+v15m5k/tRL+DM/OeSd1Lv/v++++/VL8Xk0o3pftlomdHP1N6bXqfrzwoL+mdbmrSU/3oPZuaa9P7mn///Tdmnp9YqR+1lVipn3379sVM/ej9Jpv0boMpTU95iIW/tynfoVDI9DxrPSsXmfzvf/+LmbaivGSlh3dv/T0lV65cMfG7MJaeH+XFM8rKn3p29I7Lyjzo3np+9PtHP7WdlYvyoLxkZR68e6t+YuV3od75svHyduBnpj/bykOs1I/yEiv1o6Ca8pNV9eLdV3nQ+00/vX1Z9VN5ULvNqvtH3le/C/U8R+5LybrKov9fUD0fajnUPZSGnp1DXZ/WY7nSmkBOv/7ss8+2pk2bWpMmTRIs2l+1atXDEt15550Jrm2SSHpJ7WvWrJnVrl07TWkklXZK9qu81apVi4l8VKpUKcl6SUmZ0npu8+bNTfWT1nTSer3qpkaNGjFRN7fccktM1E39+vVjIh9qHzy/Tfy22TT8PuX5PejRJPy7QCY8v038NtIkbMLz2yTKQ21Ef99oErbJykX54PltkqBusv75beJ+3/H7t0lU3cTS71+e3+i6iaW/P1esWNE9P01i4P0aC+8SOejZueuuu6KeJ+3P7CWWfucoL7HwHKsOVD+x8P8Wyku9evVi5vmpUqVKlrdZmaitpPXff5ROeiwNGzaMmfqJlb+jqH5i5V2rOtbzrJ9ZucikXLlyMdNWatasGRPPsv6u0rhx4yzPi+onVv7/S3mpXr16lps0adLE/TtsgwYNsjwvMtHvH/1UvrJyUR6Ul6zMg3dvvdti5XdhMP+u0iRNbV9tpVatWmlKo0n4OUyPpVGjRjHz++fWW2+NmbzE0rtWz3Nq61pt7Zprrjls7PRQ91AaV1555WHTSMsJBNDTohe+Nl++fOHPpP/kz58/6YPpeES9O9IxuVQnFSv5OO6441JdhqBeqN46sVC2ggULxkI2XG/umMhIOBOx8tzESj54fsONIt4fnt9okFjxUK5i5bmJlXzw/KpVRC+x0l6z7e/faM503YqV5yZW8sHzm7B5HX/88Ql3ZtEe9a7PolsnuK1GGyTYmQU7YqnNxspzrGqIlbzEyu8/meTNm1c/YmKJlecnVvKhSomVv6MoL7HSbkOhkLITE0ss/S6MlfpRxWgEun5m9RJLvwtj6e8qsdJWChQokNVNxL9/rPz9QBmKlbzESjuRCX9XkYKZRfyIlfesssTfVaSQ/kt6tPuMfp8QQE//eidFBBBAAAEEEEAAAQQQQMAgQAABBBBAAAEEEEAAAQQQQACB4AtQwuAJEEBPY53+/vvvlpIljbfLtMv3/WfGggFtgDZAG6AN0AZoA7QB2gBtIMe2Af5/gP8nog3QBmgDtAHaAG2ANkAboA3QBmgDtIEc0wYyLQAXezeKiRylJNaqczM60wTQ0yj8xx9/2OLFi5O9rFu3Lo13zJzLf/trj7296TcWDGgDtAHaAG2ANkAboA3QBmgDtIFs2Ab4fxn+f442QBugDdAGaAO0AdoAbYA2QBugDdAGktcG3t38W+YE37hLogLHHHOMbdu2LdmxVsVlDwbRE00yzTsJoKeRsFChQlavXr0ULWXKlEnjXTPh8tj5uqVMKCy3QAABBBBAAAEEEEAAAQRiSICsIIAAAggggAACCCCAAAIIIJBDBM4///wUxVkSrZIuAAAQAElEQVQVl1XQPSN5Mi2AnpGFIG0EEEAAAQQQQAABBBBAAAEEEIgNAXKBAAIIIIAAAggggAACCCCAQHYWIICevNrjLAQQQAABBBBAAAEEEEAAAQQQCL4AJUQAAQQQQAABBBBAAAEEEMjhAgTQ09gANm/ebKtXr05yWbVq1WHv8Pnnn5vOS+2i71U/9Fz/h80CJyCAAAIIIIAAAggggAACCCCAQLYXoAAIIIAAAggggAACCCCAQMYKKC6Z2pimrlNc9FA5/Pvvv23lypVJxl4Vl3333XcPlUSajxFATyNhXFycffLJJ0kuf/7552HvoIaS2mXbtm2m72HP6Ln+D1uIjDyBtBFAAAEEEEAAAQQQQAABBBBAIPgClBABBBBAAAEEEEAAAQRiXuD88883xSdTG9s83KDgfPny2aZNm5KMvSoumydPngx1IoCeobwZm7iC5jfddJMVLlw4Y2+Uganv3v2XvfLiAuvYoqZVKH6mlbyggNUse6nNmznJ9uz5NwPvnHlJc6eME/jvv//spx+3uTb0WP+udnftW6xGmYvtxktOdG1J7SlyURt7qGNT2/rV5ozLFCknKaD6+viDtdaqwW1W9opTbfXKpUmeywEEEEAAAQQQQAABBBBAILsJkF8EEEAAAQQQQAABBHKCgOKTVapUMf0ManlzBbVgQS+XGmV2Dp7v2vmLjRncyypcU8R6tm9sb7++wn7ftdNV2w/ff2PD+3VxxxVwczv5yCqBmLuv2sSWzRttcO8OrtPF7Tdc6NrQM09ONAVnt2/7LsnOF2pjL7/wrD0xfmjMlSvoGfrzj99tWN/OrpPDB2vX2P/+3m0LZk+1f/73d9CLTvkQQAABBBBAAAEEEEAAgewgQB4RQAABBBBAAAEEEEi2gOKUQQ6iE0BPdlOInRPVKLNr8FxBs5lTRljVUufbrMdHRQU68+c/0rR40i8umGNff/m5t8nPHC6wb+9ee33FEqtfqbg1qFzCFsyZZn/8tuswKokfVieN3X8d/usVEr+avSkV+PSj96xJjRvs2dmPR116/AknWZ4j8kbtYwMBBBBAAAEEEEAAAQQQQACBlAtwBQIIIIAAAggggEBmCyheGdQgOgH0zG5NabyfGmN2DJ5r1PC6t16zhlWvt3FDevuB87z58ts9HXra4jc22Yr3t9mYJ5eY9onpt12/2rbvtmqVJYcLbP1qs91d51br1rp+zupUkcx61+juJyYMs7VvvprMKzLnND33SxfMtnvrlrfvtm6JumkoFLJbKtW0UCgUtZ8NBBBAAAEEEEAAAQQQQAABBHKcAAVGAAEEEEAAAQSyqYDilkEMohNAz0YNUo0wOwbPd+/+y0YM6GbtGleNCqLVaniPC5w3adXFCp54sqsJBdk0St1t8JHpAgp4vrHyRfc94g91amZZPUpb+XnlxQXWsPJ1plHM6QWimQ7i4uLSK7ksTUcuDauUsImPPWwKVmdpZiJurud49KM9rF+3lq7DTCgUHSi/8tpSdkWx6yOuYDWWBPTsxdK7IJZsyAsCCCCAAAIIIIAAAggggEC0AFsIIIAAAgggkLMFFL8MWhCdAHo2adNqfNkxeK7gXqPbS5q+n9qjPqXQaTb2ySXWqdcQO+roY7zd9sfvv9n8WVP87WMLHG+FTivib7OSsQIKmM1/arJ1a13P9D3iq19Zal9v2ZSxNz1E6srPiqXP2UMdm7oA7CFOdYeOK3ii3XBLZWvQor09PHyqDRg1w7r2HWGaJtydEP7IlSuXVal1l3V9eKQdkTdfeE/2/rNm1UvW5q7Krr5iqSSaPaJvl3tszvSxLlvFS9/sRpu7jfCH6qFxy/st/5FHhbdi9k+OzZievVh6F+TYiqDgCCCAAAIIIIAAAggggAACmSHAPRBAAAEEEEAgHQQUxwxSEJ0Aejo0ioxOQo0uuwXPFYDRaNj4Uzdfc/1NNmXeSruqeOkoNp2/YO5U+2DtGn+/gm5nnFXU32YlYwU++XCdjRva2/bt22f677jjT7ATDswMoO3MXtT5YnDvDn5+4t8/d+48VrlmA5s4Z5mt+nC7vfDmFzZo3Cxr0+Vhu7XyHXbJFdfawmeesF9/3mGnFTnbejwyzpa/9511HzDGTj61cPzkst32qmWL7IE2Dezv3X/5eT/73Av99axa0dcudGhWw1YtW+iyUOH2Otb43s6mDhluR/jj+pvK2xXFrguv8SfjBFKfcqy9C1JfEq5EAAEEEEAAAQQQQAABBBBAIOgClA8BBBBAAIHYEVA8MyhBdALosdOuEs2JGlt2C57Hn7rZK5gCaYPGzwkHZU/xdvk/FSydMXG4vx0KhaxSjfoWF5fb38dKxgns2vmLDe/XJSoYW7F6XTvx5EIZd9NDpKw2NHnUAPvjt10JztJI8+4Dx9jydd+4oPhlV5VIMJpcQfOurerY77/tdEH1uS+uc8F2Td2eIMFsuEMjzx/uek/UyPxQKGQXXHJllpZm06cfWesGFW3jhvUuHzXqNbNu/Ubac3Om+m0rT54jrGGL9pY3X353Dh+xJRAz74LYYiE3CCCAAAIIIIAAAggggAACCCCQEQKkiQACCCAQOAHFNRVEz+4FI4AewzWoRpbdgueahv3hbvfanANTN3u8CqT1eGSsJRbA/OH7b6xvl7ujgqUly1Swq64t5V3OzwwU0Oj/5+dON3Vi8G5z5jnnW/U6zSwUiv7eau94Rv/ctPEje++t1xPcpn7z++y5lRusyh13HTIAu/uvP63Ffd1t9tJ33bTuueLiEqSVXXdodHCf8POikedXXFPSatZr7opS5OzzrOj5F7v1rPjYGA6at29azZ9OvnnbB6xjz8H2WXj/q8sW+Vm6qXxVu/Sq4v42K7EjEIvvgtjRSVlOOBsBBBBAAAEEEEAAAQQQQAABBIIvQAkRQAABBBIXUHyzXr16iR/MJnsJoMdoRalxZbfg+c8/bbcuLevYyhefj1JV8FyBNE25HXUgvKFr+na5x7756ovw1v4/+fIfaU1adTlkgHT/mXymh8BXmzfanGlj/KRCoZA1b/dglk5z/tH6d+zff//x86SV1l36uunZkzNyufAZZ1npsrdZYm1OaWXXJbKzSbESN9oD/Uba+gNfe3BrpZpWMIum3P9o/dt2Xzh4vvPXnx1tu279rVk4gL53zx6bOWWkX5d6ttUJgpklHFPMfcTiuyDmkHJGhiglAggggAACCCCAAAIIIIAAAggEX4ASIoAAAhkqoDhndg6i58pQHRJPlYAaVXYLnv+261fr06mFfXAgmOcV/PbaTdwo1MQCmUld06xtN7v48mJeEvzMQIG9e/fYnOnjzAt86lZlK1SzMuWrajXLlvz5j4q690mnFLbyVWpn2Yj4qMxk0YZmdxjYvY3rbHLc8SdYp16D7b13VtuWTZ/aCSedavqKhKzImqaTb9+0uptBIleuXG5a/bpN27q6Wv/uG6bjXr4q12xgF1x8hbfJzxgSiNV3QQwRkZVsI0BGEUAAAQQQQAABBBBAAAEEEEAg+AKUEAEEsoOA4p3ZNYhOAD3GWpgaU3YLniuw17N9Y1v39mtRmgrote/+SNQoYJ37UMemNmZwL+vWun6Ca26uWN3qNmnjgm9RicXYxv/+3m3vvLHSBQd37/4rxnKX/Oxs2rjBli+Z51+gQGzLTr2j6sw/mIkrVxS7zhQk9m65Y/v31qVlbXtp4VzTKOxdO38xTTftHQ/6zz17/nXPzNo3X3VF1XOV54i8NnXMILddv1lbO/3Mc9x6Zn6sWrbIHmjTwDSdvDrJ9B85wxQkD4VCpmn0n5z0mF9Pqk9NNx8KZc3XAmSmS3a8V6y+C7KjJXlGIE0CXIwAAggggAACCCCAAAIIIIAAAsEXoIQI5CABxT2zYxCdAHoMNVI1ouwWPI8f2PM4r7n+Juv80FDLn/9Ib5dpxPmD4WDbyy88a7MeH5VgtPrZ511kbbv1T5fgrYLaj/Ro54J7CnYrEwq4rnvrNatd/iqbPn6IdqVq0UjNUY92tw7Nqtv999a2BXOmJjudfXv32scfrLXBvTvY7TdcaCUvKGCVri9qb762PNlppNeJKofqQcFPL02N/j9UIFb1vXrlUuvYoqbdcmUhl/8bLznRRg580GTupZPWn2oL/UZMjwqib/r0I9N0/zXLXmq3lTjbSl14nLu/DJNaSl90vKunn3f8cMgs/fnH7za8XxerUfYS2/rV5kOem9TB7du+s0kj+lnNcP6Ut/ua3G67woH+pM5PieWieU/awqenu6RKla1opcreZhOG9zWVq3ipsla9bjN3LLM+9CzpOe7ZvpGpHEcfW8CGTZ4XNXPBGytftPXvrPazVL1eMzvr3Av97cgVLz09C0nVmb7u4cG2Dd3zsnnjhsjLk1xXulvD9TluSG+7s9yVrr2UveJUe3b2435gP8mLD3NAz/KKpc+5+n55yfzDnL3/8K5we5g9dbTVrXiNy0uTGje4DiH7jx7+U9cvmjfD7q59i+m5U7vvc38LU8ekw1+d9BmpeRdkpG3SOeUIAgjEugD5QwABBBBAAAEEEEAAAQQQQACB4AtQQgRSKqD4Z5UqVVJ6WZaenytL787NfQE1nuwWPFcAZc70sX5gzyvMGWcVte4Dx9rRxxzr7bJvv/7SWjW4LcGIc+8EXTNs0jN2auEzvF0JfipQN2/mJBd8qlHmYmtQuYQlFkj78YfvrU3DSqZA02efvB8OLu0yBbueenyktWtc1eUlFMpln3y4zp6dNcX6dWvpp/nYgG4uIJjg5hE7vvnqC1vxwnP+nsTy4B88sKL7K9h2x62Xu+DXgjnT7Kcft7mjO3/5yeY+Mc7+/nu3286ID9WVAokzp4ywR3u1t9deXuzK/+qyRf7tSoUDs5Wq1/O3I1d0vTof1LvtWuvasq69/foKP2CuelH+lWbkNWldL3bdjTZ/5QbrPWSSXXjpValKbt++fbZl82f2v//9L8nrP/3oPWtYpYSpbe369Rf7688//HNVbnVuaFbzpgQdPryTvv/2a+vZvrHVCLfJ6eOHuoCortNocbUx7zzvp46lxFLPjjfSPE+eI6x+s3a2YO5Ue+XFBVb4jLOsW79Rlv/I6CnvvXul5afyue27raaArwK2repXtK1bNrnA8/ynJlufzs1NvqcUOs3Gzlhi15Ys499Ogd7Z08b425rZoFL1+hYKJRx9rvajGSk0M4WeBaW5ccP79vtvu/zrNevAfU2q2avLF5nOeev1l/1jia2o08zSBbNdZ5m6FYqZ2v13W7e4U3Vs+MP327trVrntxD70vP768w775acfE30f6B3TI1znvTo0cfX94vNz7J///Z1YUm6fzh/wYGvX8WP0oJ7OUQc+/+RDe+u1Q5dF9aBON51a3OGuV8cgbctNaSxb9IxNGT3Q1Yu2D7cova1fbXYmqX0XvP/uG6bgf2K2c8O/E1RHh8sHxxFAAIEYFCBLCCCAAAIIIIAAAggggAACbHEfKAAAEABJREFUCCAQfAFKmEUChQsXtjJlymTR3VN+WwLoKTdL0RV79+497PlHH320ZbfguQql4OuEYX216i8aidp7yOSoQLhGDrdrXMW2bPrUPy9yRQG4/iOeiLom8rjWFfQa0ruTGyWsIJ5G+3795ef22287ddhfFGjT6OiNG9a7fb/v2hkOgu2wWdNGm0ahup3hj4mPPWwt7rzZhvbtbAq0eWnODwfoP3zv7fAZif9R0OqZJye40fTeGd9/81VU0NXb7/3UyNkOzWuYgm3bv//W2+3/VFBUU1vny5ff35deK3JbPP9Jq1zyXFOwSwYaydy93V1u9Py///7jbqV6u/u+HpY3kTwojdGP9nCdD747EIS8qVxVGzR+th1X8ER3vT52//mnfqTrohkM9FUAU+evstc+/smeW/mxDZ4wx3oPnWx33nWvVapR344/4aRD3rNsxWpW6LQiCc5RIHFpOMh6b93ypvYU/wQFUdXpovPdtezbb7bYMQWOizpFLgr81rrlchfMjjoY3giFQglmU9A1KbFUHuc9NcmNNA8naRWr1Q2vbzc9d7ly5bK2XfolWjadm5ZFbVZt5I6bLzO9w8bPetG0nHHWuTYnHBjXaH0FuhXAf+zx5+y8iy5zt9PzoaDzC8/NMnVMcDvDHxopr5kfNGK6aqnzbcvmjeG95oK+6oSjIL3bceCjeOmbTZ1qtKmp4B/t2S7q/XFm0fN1KMGiOlu+eJ7VKHup6xjjtdf4Jx6RN1/43vvi73bbGs2tmSX0zFQpdZ5Vu/EiP+Ct+tDI+gaVi7tgvrsg/LFp4wbb+esv4bXoP6pvBe/VRpY8+1T0wQNb+Y9KuvODnO6tW851unnrEJ0GjsiT1/btO/TvGuUlre8CzTIxsHsba92wkum9fqAI/o9QKGQ167eIei/4B1lBAAEEEMhgAZJHAAEEEEAAAQQQQAABBBBAAIHgC2TvEp5//vnZJoieK3tTZ33uv/vuOzvllFOSXP7991/bs2fPITNarFgxU8+LQ54UYwcVqB4/vE84aBMdhGraqotdfHkxP7cfrX/b2jSqnGiAUifFD8BpX/xFQbnHBjzgRpRHHqtWp4ldUew6f5fy1L5ptahA26VXXmu/h4Ps3ghe/+QkVhQU/OSDtYkeVfBowINt7LnZ0VO2f/v1l5bUiMuvvvjMFKDVaOREEw3v/DccxB4/rK9plGp4M13+RAYSB3ZvmyB/Kufvuw52Pmh0byc/CBqZAZVZo1QV5NT+444/wUZMXWADRz+pTftt5y/upwLwlxcr4dYz6iN37jx2SuHTrdh1N5k6HXy9ZZNp5K9GCid1z+tuuNVatOueYOSzfBQc1+wDal/xr9e+sUN7+50uylW+w84852DQVvXapMaNpinw41/rbWu68nMvuMTbdCP2U2r5VTjQvGzh0y6NfPmPtPMvvtwG9+noth8cMMZuKl/Vrafnh8qmNqvR3kpXI93VWUVT948Y0M00glr7tejZ6ti8hj+duKYVrxIOOquTgI7HXxT011c7nH3uhe6QRoFPCLd9t3HgQ22pYYsOFheXOxzk/s/mz5ps77yx8sBRs5NOKWxFzz/o6h3QaPmWDSpa787NLannUeeGQiFTey923Y3ajFpU7+oUERmsLnz6mVbwxFPC7/F/7YkJQ61LyzqmKf+jLgxv6NrwD/+PRnnfEw5+q9NK/GPeSSrLZVclfG4U7FY+GlQuYRvef9c7PdGfGvlfp2lriwt7JXaC2rrXqSAt7wJ1qtAo+KQ6Auje6mDw+JhHEw2u6zgLAggggAACSQpwAAEEEEAAAQQQQAABBBBAAAEEgi8QLqGC6IqLhleT/PPrr7/a8ccfn2TsVXHZbdu2JXl9ehwggJ5GxdNOO822b9+e5JIvXz7LnTv3Ie9yzDHHHPJ4rB3cu3ePPTlpuGkq88i8FS9V1qrXbebvUkC7/wOt7I+IqZj9g+EVTcs9buZSO6voBeGtpP8smvekadR05BnXXH+Tterc1+IOBI10LwXPI/OkEaxd+o6wBXOn2d+7/4q8PMn1UChk5154aYLjv+361R5s28BeWjjXylWpZQryeSf98cdvtutAINnbp5/KU7fW9ez7b77SZtQSfzSzApRffP5x1Dmp3VCg68G2DS2pQGKuuLiopK+4pqRVr9MsQZBZQb+RAx90ZdYFKvPQSc+Y6ln51TEF4nVMAcmzz71IqxmyKDCn0bgKeJe7+jQ3Zfo7q19J0IHjxJMLWfmqd1rPR8fb/Fc+smGT50V9lYAyp3JNGzfYBcdzh4PyV5e4Qbv95Z///W2a7cAbFa0gfGRbW7PqJWt2RxmTgX9RvBUFilt2esgfHa97ykvtR6cm11LB652//qxLTAH08cP6uOepZefebvR9KJRwSnR3cio/Emuzms3hrqol3dT9zzw5MSpldcLQ6H2VL+pAEhtlyt9upW+5zR3VM6OZILw25HaGP9SWvBHtGsU+Y+Lw8N6Df9T+CkXMKKC28forL7ivdNiw/p2DJ0asKcisWRO0S+fPnDzCvtr8mTb9RfvVUSTyXaN66thzsDtHz9OkEf3devyPJq27mALt3n51DNAMF4mN0vbO0c/412mfOgLo6y5mPT5KmwmW04qcbeo8dMQRed0x3UvTuLuNeB/p9S7QqPy+99+d6NcYHHX0MVHvDr3v1739WrycsIkAAggggECwBSgdAggggAACCCCAAAIIIIAAAgikn4CC5wqiHyr+WqhQofS7YSIpJRZAT+Q0diFwUGDdW6/b83OnH9wRXtOI4Katu1r+I48Kb+3/owDkN199sX8j3qem+R078wU7+dTC8Y5Eb3779ZcWf/S4AuPdB471A6MK+nW+586ogL5Gtg8aN9vUgUGj4KNTTXqret2mpuB85BkKQnVrXd8UsG3Xrb916P6onRQO1HrnaLSozvG29VMBJ011HL/8Cn4NmTDXLruyuE6LWtQxIWpHKjbkdV+TaqaAYuTlmppdZXtqydvWI2znHVO9tezYy7f09uvn6hVLbfG8GVp1AbKufUfYxZcXc1Nza9Sx1zGgRr1mVrdJG3eOOzkdPxTU/PiDtaZprDUaV1OuRwZci5x9nt3b8SF7avFbbor3ha9vtD5Dp7jgsoKsoVAoQW5WvbTQnpz0mNVvfp8tfXuL1W3axj9Hddmncws320GZCre7acuHTnza91HwvGeHJgk6ZJx+5jmmoLmXkALcpcve5m1aaizVht6KmLZbo6r/+vMPq9esnWWEt+6XWJv1C5HGFXUAaHhPR1OnBSX17hsrXVvSurfcXruJXzbVxbRxg12HAe+42quCx6HQ/npV+9CU8t1a1UtQJ/p6gdZd+ro6rtO4tb29eoWXjMtD7jx5/G2tKNgdGaxXfbbs1NvNeqBR5ytffF6nJVhUH1Vr3eXv133UcUaBZH9neEUdhWQQXnV/VNbI67RTnRWa31HG9FPb3qK83Fa9nun5HTNjiX328Qf2zz//8w5b/vxH+eveSnq9C9Q5QqPh48+iocC5vkpB+VI9ePfVz72HmXVF57AggAACCCCAQMwIkBEEEEAAAQQQQAABBBBAAAEEEIgnEMAAerwSspmuAgpqzZ42OsHI35vKV7VLr4oOCisgF//mCroogKxpnPPnPzL+4ahtBWXmPjHOft7xg7/fC4yfWvgMt88Lnm/Z9Knb1sfRxxawh4dPdSPb43LnsSOPPNq8/3SsUo36NnjCHJv67Kt2xllFvUPWvO0DptGmXoBPB7wg1EfvvWU9HhlndZu2tXxHHmUnnHSKDrtFo+CPOfY4t+59vPXacosfcKpZr7lNf+51y3NEXosMjOoaBdY0elrrqV32W9SKmsJe3g8OGG0vvPWldQ0HwHf/9ac9NqCbf4sqtRomqDcd1OjgJyc/5tdz2QrV7Poby7nA8921b3FT8supY49B1rnXUBeQ1HXpuWhK++7t7jLdb0PENNYqk4Lmz636xOa8uNYat+xsZ593UbLzUKpsRRdUbdu1nymtyDyrzcmxaq1G1nvwJLui2PWWK27/iH3lR9OXR85moMCmgrSTn17hd7y4p0NPiwxw79r5i6XG8tutX9oXn38SmT1TZ4VWnXsnu6xRFx9mY8P77yRos4e5JEWHS998m513YHYHjfLX9PuRCajjiupE7Ur7N238yHVa0bq3FC99cziNy9ym6krT8KtO3I4DH5rmX8+/OlNoKvjvtm6xPl3ujgqwV6xeN2pKfnVemTllRFSwXp0g1Obva1LNPli7xqWujhLHHX+CW9eHguCR9aE2MmLAA1H30nnqrDHlmVdMBtpWZ5aOPR6NqsdPPlxn9zWtZt6MAzpPFrp2yZtfWK9BE0xTvg94sFVUgF1t/6ZyVXS6v6gNd74nfd4FCuYvfW6Wn7ZWbri5UjiY/46df+Fl9vKS+doVtZxZ9ODXHUQdYAMBBBBAAAEEEEh3ARJEAAEEEEAAAQQQQAABBBBAIP0FcqV/kqSYJoEYv3j9u28kCGrlyXOE1W7U0uIOTKfuFaFsxWp+gEijQTuEA0YLV39uCmCGQvtHkHrnRv7UaO733n7dtmz+1F5a9LR/KP6U7wpWKcAaGTzXyU1bdXEjpbWuYJeC9cqjAk1zX1znpvcuVuJGmzCsjz9qXYGwxq3u9/OrazUitV3jKvbNls328GPT3KjmUChkCvwrkKVztCiodsaZBwPxiQUHFWTt3HuYHXnU0fb6iiV+YFrXazmr6AV22hlnaTVViwKA08YO9sujRDQydMGrn5qCwcqzOgP0DQcSvZGx6kxwR4O7LS5evena+KOD//h9l1W/6SLTFOIaAX5Tuao2b8WHdme43nPF7Q8w6zrlQz/Tsigw+sbKF61B5eL26vJFflIKdmvEq0aNNw4HzU8pdJp/LCUr+Y88KmqmhPjXVri9jnXoOcg0aj/ymEafR07brrY1ctrzpiBtgeMK2uDxc2zZu1utSbj9KfDpXZtay08+XGuRwXqNdO7Yc3BUG/XukR4/i5csa4tWf2aT5i63mYvftAsvuTJZyaptqS70M/ICPXMKiA8YNcMeHfuUtX9woMUdaGs//fiDG0Xtna+OLN0HHpxVQvs/Wv+O/fvvP1p1izor3HlXS79eVq9cGn6G+7pj+pC5nrM5S9farZXvcE56hnvcd1dUYPyiy662pq27Rs2YoKniX112sK3pfaA2fv+9tf0OKfpqAKXrBbjjB/zVbp+fOzVqan91jBk0fra16fKwe/YfGjzRXnznK+vS5zG/HMq73mX6egLv2dQ+3V/PmAzVvtQh6ZGebaM6Oci4a5/h/lcF6Do9g9PS8V2wfPG8qHqQzYDRM9zsIevC72nPQ/fWcsKJp1jR8y7WKgsCCCCAAAIIIIDA4QQ4jgACCCCAAAIIIIAAAgggEJMCuWIyV2QqJgUUmHnhuVn233//ReVPI8+Lnn+J2xf5oSmsX3r3azfad8mazeEgeysXfI48J/76V198ZpL9JtoAABAASURBVPfWLW9bw0HrNauW+YEvBatGTV/ogja6RkH23p2bR43E1H4F5zU9vNa1/PrzDhv2cJdwsCqf9QgH6I4/4SSX//mzJts7b6zUKW7ksIJUCsC5HeGPdW+/Zm0bVbZdO391wb+bK1b3A24KkO/69efwWfv/3FqpphU88eT9G+FPjRzetHFDeG3/n8o1G1jdA1Oc79r5i6lzwP4jBz9LlalgGsX+265fbUifjvbLTz8ePJiMNd1v+ZJ5/pnKr0aeK+isnQokus4AEVPqy/TMcxKOFFXQ8tWXF+syf5GVRq8rKK9R34+MmenXhXfSurdeszGDejlfb19Kf+7bu9c0qrhLyzr25x+/+5drFO7iNzZZhaq1XWDUP5CMFaWpIKA3ivhQlyjgWadJ6wTtVDMvvLX6Zf9SdcaYNPdlK3bdjf6+I/LmM3VK8HeEV1QvU0YPDK8d/JNcy8ivSShxwy12T/seSZZdZdwVblsH75LytVxxcXbCSaeaOqo8PWOibfz4fT+R1l362upPfrE1n+1KsKx4f5tNX7Dazjr3Qv98rVSsVtdkqdkLbry1iktb+7Uor3/88ZtWTZ1rhk56xk49MKuEduod8+tPO7TqL2XK325Xlyjttnf88L2NHPig3xFFAfyJc5a5zgxexwd1GOnZobGbLcFdFP5Q/XbqNcQKHFcwvHXwj9qH2r326LlQJ5whvTv6wXN1QlFnk3kzJ+kUV8+a3v3oY4512/JXu503c7Lb1scZZxW1Gc+/YRqtHQrt7zCkd8yxBY733yU67/tvv7b777nTD7yro4A6Gw0Y+YT/jKn9jX60h8WfRr55uwft8mLXKxl/UZtLr3eB3kf6CgUv8SuuKWneu/Kf//1tmmnDO+b9vCpcR5oFQHkeN6S3bY54F3rn8BMBBBBAAAEEEEAgGAKUAgEEEEAAAQQQQAABBBAIqkCuoBaMcqW/wDfh4Ku+Bzx+yprmWKN64+/XtvYrWBUK7Q8gaV9iiwJm+t7uZneUcYevvLZkOMD9iltXUE/Tj3vBKo3W7HJvHX9aZXdS+EPBMQWUvACaRmw+1KmZfbf1S7vy2tL+qPTPPvnA/151jeC8p0NP7zuuw6mYvfzCfGvfpLr9/tsuF/hW0MgdOPDxbTi9D9e/7bYUbKsTDo5rY8+ef236+CE2amB3+z0cCNc+BVTrNWvrBz73hs/5668/dMhfNJL55nCAfsvmjdaucVV7aeHTKQ6gb/xovT9aWaN8NTJcwTrP9d565aMCibp58ZI3W9yBEcHa1qKOCQ+0rh8V5JdRt4dH2vL3vnPTSBc5+zyd6i8KHj49Y7y1b1rNtn231f7953/+sZSsKK+zpo02Bd2862Qz+olFLmjn1at3LDk/1VY6NK9h6mzx+++7Elyye/dftuKF5/z9Cl7mTsSk8921bMP6d9x58niw/yjTzANuRyIfKsvSBbOtebg9y8Q7Rdcm13LXr794l5lGgydVfgUqxwzuZcP7dTF1cvEvSsWK2vAT44fawqenu6vl0eORcdageXt/Knt3IN7HC88+ZRrF7e1WvdVt0tri4ll6x9XOlG9tX3zZ1XbKqQdnE5CdOurMmjpKh/1FnQhyhXLZ5s8+ttYNK9n333zljukZGzDqSdPIcrcj/KHgeed7akXNyBDebXWbtrGLLy+mVX/5esvn9vqKF9x2rrg4F4SfFn6Ova9gUPC8TdeHbcbE4X6HHnXk8O6ncgx9uLNrt3G5c7t0VM+acv1wbUSdKZrVvMm+3HRwqn5NHa+R9rni4lxaSn94v662aN4Mt+196P7V6jSJCsar/p5+Yny6vQt6d2pu6tSke4ZCIfd1Cd57eO/evabnR8e8Re2lyh132c87frSHOjYzTYu/48dt3mF+IoAAAggggAACCCAQSwLkBQEEEEAAAQQQQAABBBBIUoAAepI0HIgvoMCzRiRG7leA7LKrS0TuSvG6AkRjhzxk3VrVs9x58ljvIZPsmGML2Ddff+HSuuzq4lbo9CJuff07q+3eureavpfX7Yj4uO7GW837jmXtnjN9TDjI/qb9Ew7onnHmOdrlRkcvmT/TDzApmHZOxHTDz86aYgoa7du3152vgPidt17h30+BvyF9OrtA2hlnFTVv2mnt79GukU0a0d+OjxiNrsBnodMPTs0eF+872XUTmba5q7I1qFzCNFK8SesuVvSCS3Qo2cvu3X+a2f7TNRq+0GlnmlynjRvsXDUVuGYJ0MjQ/WeZnXjKqd6q+6kAaItaZU0jThWodDvDHwVPOtlK31wxwajs8CFT3tVJYcSAB+zMoheYRs5qJLaOpXR5ddmiqCm5FYQdPmV+1Cjv5Kapsit4V+uWy92U16FQyPLmzR91ufL+YNsG9tLCuf5+TU+/Z+8ef1smLetVMHWaOPmUwm6/RkyffOrpbj2xD6Xbq0MT05TcmrL/2GOP909LruUZZ59nJ51SyL/urz//8NcjV9RBQKP1F8yd5kbn63mMPJ6SdZlNHzfEHh/zqLtMHVI0Lb1mUAiFku4Ao2D1rKlj3DXeR/V6zcwbkb51yybT8+Edi//zsquvM6/NKHg+/6nJ9kiPtv7ocu/8R3q0s9IXF7RGt5e0777Z4u22Oo1amZ5jb4cCvuo0oQ4/Cq4XL32zO3TCiadYlZoNowLOqt+2d1WxHdv3B3nVGUTXeh0I1EGm3QMD7L23V9uaVS+5dPShYH4oFDLff840u7FcZSty1rk6bIdrI5pd4bH+Xa1Ds+pupgWVWxdecsU1Vr1OMz+PClA/2qu9HzwvWaaC5clzhE612o1bRY2kV7tT0Hr54mfccX2k9V0gn/z5j1JS4XfwmXb+RZe7dX3EhQP8+fMfqVV/0fPT5/4WVv2mi0wdojTd+7Ul93eK8k9iBQEEEEAAAQQQQAABBNJBgCQQQAABBBBAAAEEEEAgIwVyZWTipB0sgU8+WJugQF6AJsGBZO7Y+tVmu6duOZv1+ChzAdPJ8+yyq0rYjh9/MG8E7hFH5DWNJtcIWwWat2/7zqWuke+FTivi1vVx8WXFLC4utwuSazrxeU9OMo3IVBCn1f19dIrt2hk9hfqOH7e54J4CVU9OesyN4tUoSo3edheEP3b++rNpBLNGgN5V5fpwUH6Nm/Z93FNL7ZRCp5tGkWq/Akaa6rp15z5WoOAJ4SstHAQtHBV41ujNMw4E2dwJ4Q8FnXSP8KppNHzdJm38AJr2JWc594JL/Wt+/22nKYimUbpTRg10l5etWM36j9w/qtjtCH/s+Xd/oFiBU5X97tq3hIPuf1v/EdPt2OMOBn0V7NsVdgtf4v9RoFHTXt9x82X2yosL3LTfj015Nmoabv/kZKxoqv3Jowf6QVPVwYMDx7h0k3G5f4ry9fqKJdaw6vVuRLDqXwc1Pb4XkNa+qWMHWbUbL7K1a1bZldeW0iluUUeDsYN6meq6U4s7rHmtsq49DZs830490Iljx/bv7d01K91+d9GBD7UhXeeZaFrxgaNnpspy0NhZflBZya996zWTkda1qAwvLXraGlQubhvef9fVmYKrOpbSRWaqyyqlzrOpYRddr2dx1PTn7XBpKvD7woJZ9vOOH3SZWzTqulrtpqYpvpVevduutVeXL3bHvA8Fs70R9X8f6PyhdqhpyvWc65nQuZr94aZyVbUatZxxVlG3ref9mogA7Yb337HWDW5zo9Pl/+iYp+zP339z5xY55zzTVzhoQ2V+ZsYEu7duedNXEygYrP2Ri+6hDjL5jzwy3Mafi6pvjZCfNLK/1alwtWmkup6vB/uPsYInneySUBtZ/coLUdfogFdvCjDPmznJTQV/d/vu/nkK2OsdoXMVEPc6eOh50NTz6pCjqebVueHMiK9fUKBbbXXVsoVWvsqd6fYuGDRulhUJuyk/etflP3J/MF3becLv5cjOR9qnZecvP+mHqeNF++6PWOS71B3gAwEEEEAAAQQQQAABBBBAAAEEEEAAAQQQQACBGBcggB7jFRQr2VMw7LutWxJkJ1dcLosLLwkOHGaHF8BqWPk6N+pawa6R0563S68s7q7UNNq5cu1vnssWPWO3lTjbFHByB8MfCoprlOsP338T3tr/R9/7qwBmx+Y13FToCkBp+uWOPR71gzg/bd9m27d9u/+C8Kemga5T/mq75cpCNn5YHzs1HJB/fP4q0wjT8GH/zzdffWEaAatAd/W6Ta1L38fCgfQ3rcWdN7tRpArw9xo0wU11fXSB4+yMM/cH+DQtuxdQUhBaabwW7/vFVc6SN5W3yU+vsMYt7/fz6t88GStFz7/YvKnVXRB4yEP+lNrK70ODJtq///xjv+/a6aemKbJnTxtjdW+7xi+7OgVcVaK0nVn04Hej//HbLhdo1NTqLy+Zb4N7d7CK153tOhUouF689M02Yupz/vc1+zdIwYo6PGzZ9Kl/hTpRFCtxo799qBUFcTVN+hMThlmV0udbt9b1LX5bvezqEqbOFnv37jGN/FXHAk01/+CAMaYp9iPTX/f2a66u33r9ZVMQdcTjz5l81UHDO2/Ag61dvau9ael+311W4Zoi7jqZXHjpVTbuqRftimuuS5VlkbPPtVMLn+HdzmRz/721TUFz1cPtN1xofe+/20LhZ2TQuNmHDXT7CcVb0chwjbhWBxHlW4fPPu8imzT3Zf9Z1L6kFrkvmf9U1OGffvzBxg7p5drV1DGPulkaatRtFnVOodPPtMLhRTtffH6Omx5dnR7mTB+rXW5RuxoUDuBqCvma9Zpb4TPOsurhZ++pJW9bszbd3Dneh4LvmnGgdYNKpmdU/hPnvGxxuXPbxg3vu9M+WLvGfcWCAud1KhazxwZ0c1/doGdZHSzcSQc+NHK995DJrg40HfkHa988cGT/j1UvLTSN1td9K9xex3o+OsGNBo9sI0P7dnbvIbUP1Vv/B1pZuWJnuHqTtd55Y2cssVsr3WHqULA/ZXPBdD0PCojrKzPy5T/SNBNAhdtr25pXl7nT9IxPGTnAFMj3OnqozasDjqaAL3L2ef55mt1DAXbtkF9K3gXqwHB6kf2zd2zdstl+/OE7JWPqLKLOETJ3OyI+Lr3yWhs68Wl7sP/oqM5DEaewigACCCCAAAIIIIAAAghkawEyjwACCCCAAAIIIBB8gf0RyuCXkxKmUWDv3r0uaBI/mT3//OtGLcfff6htBZXvrnOrC2BpRKaCXQo2nnfRZf5lJ55SyI3u9ndErFQIB6w0svHLzz91wSbvkKY/V4BaI8K1T8GiTr0GmzfSVfty58mTZIDa5WPmUjdN8d339XCjQ3VN/GXBnGlWJxx079m+sQtSn3nO+Tb12Vfttur13MhPTWtctmJ1d5mmmlews2rpC1wngKULZrv9CporMPjGxp22+tNfbeikZ0zTN4dCSU+V7S5M4kMzAWjEZ+Rh3UNTqt//0LAoA+8cfae3Rvxu//5bN6J+4pxldlbRCywuLrfdXGF//r1zFfBTsEzTtavSwuUWAAAQAElEQVT8CqrrmAJ2CpYdW+B4baZ6+ejAd8p7CWhbwf2fftwWVcc6rnvrO6MVmFTg+tarCptGfU987GHzOivoPG9RMLRp667OQAHI5+dON9koeF6pRn1XZ965kT/VHkY/sdj/rvNSZSqYRmZ757y7ZpULmKvNKaCqtqxjd951r42d+YIpYJ8WS3UiUHreoiCoguaqB5VT7W7SnOWW2imy1fnkvibV3AhqM3O3UcBUI881itztOMyH6kGjrSNPU3BXHS3CFec6hahdhkLR7brAcQXtpvL7R5Zv3/adTRjeN6rTg655ZMxTpnalEdn39xlu817+wLr2HWFnn3uhFS91synQv3fvHuvUvKYLTKtjgeqgTPnbzevQ8dZry03nKH8a1a6ZFhQ4V7BZfuowcuMtlf1R1jpPbaN7/zH+tPC//PyjaVYHHYu/aLaIB/qN9APF8dvIe2+/7tqI6k3BbgXclcbN4ffDE8+/YXrnqTPBLZVrarcpfxWKn+kC78qjC7I/ucR1kPhy06eus5E7MfyhtqygvDp6aJR3r0ETXAeck04p7EZ/h0/x/6hMqXkXKIFbKtV0z4tmGWhQuYTpfVbu6tPs8dGP6LBbmrd9wF77+Cdb89ku1/miZPhZyRUX547xgQACCCCAAAIIIIAAAgggEFMCZAYBBBBAAAEEEEAgGQIE0JOBxClhgXAALC6RgIiCS1u/2hw+4fB/FITV9MwKwigYqCs09fGo6QtdsFHb3qJAZZU7Gnqb/k8Fxb2Alb5b2T8Qb0WB3U69hrigaeQhBTU1Gjlyn9a9oOfJpxbWpp1/8eU2cuoCO63I2W47sQ8FrTRl+/TnXrNzL7gk6pRylWu5oLR2Kqin4JPWtZx4ciHTaHsFCUOh6MCijqd2qV63mV13w63u8osuu9qeXPSm1W7UynLF7Q9knXpaEVPw0Z0Q8dHivu42ZMLcqFGwpcpWDAcpy0acFb2qUaYaCdykVZckOyREX5GyLQU7FaBTsK7UhcdZyQsK+Ev5a4tYwyrXmxe41mjYpFI/+tgCNmDkDNN3ZGvq68XzZrrvch79xCIXZAyFQqbRxwp0R6ahAKcXhPX26zu967e4z9tM8FMB2bHhYGfHnoP9gKpOSq2lgpBKU2nEX9Re1WlDHR7iH0vOtoLnne+5041s987Xsxi/HXjHkvqp75UPhRK24VoN77GZi982tcPErg2FQnb7nY3dCP/I43qmOvYYdNjRy8efcJK17PSQKTCs+t+z51/XDnVtf30FQYHjXYefjxP52gndT/XrdRjRtOR1m7Zxaen+6tjiBfd1rmYC0HtD696i8xSwbvfAgKh3zOHayGnh94naXr8DeVR6oVDI6je7z1TXavfqIKL9yqOC7J7hJx+u8zsD6Li3KE2VxevAo/3p+S64ukRpq1KrkZJ1X7GgTi3Kp3aoc9JDgydas3AAXSbax4IAAggggAACCCCAAAIIIIBAxgmQMgIIIIAAAgggkDkCBNAzxznb30WjqguddmaCcmj67FmPjzJNYZ7g4IEdu3b+4r5bOXIadgW+NCKy3/BpbhrlA6dG/bizUUu7656OLrCloPPDj02zLn0e8wNW8Ufo6mKN2FSAKqmp0BXweaD/KNP00KFQyAX4xs18wTqEg3Yqo9LwFgWuZoaD0ANGzbAril3vAnQ6poCappBe9Mbn1rBFBz8/OuYtGjWrEbS1G7dy1ym4pBHmfYZOsWeWr7di1yVvenIvveT81D01Gvyld7+2Kc+8kiBYruMKdB1X8EQX4FUAc96KD9102HKJvIeCioPGzbbm7R402YdCIfdTHRgUOJ84Z3mC9COvT+l6YnWZ0jTin6/6k4M3QjtPniOsz7ApNnvpu3ZV8dL+6aoXlSsUCplGNcuwX0SA0zsxFAq5KfoHjnrSny7/mALH2a2VatrEOcvsqcVvRaXrXZdaS3XmGDR+tmlUuNJS0Fj5nPPiWosfpNfx5C7q0DF9/NCo4Lm+6kBTe6uNJDcdnXf51SVM12r96GMLWM36LUxtSp1Xjjr6GO1OctFzNGLqAlMHAz0ft9xWw12r5z5X3P5OH0leHD5ww82VbMjEp+2Ek051HUdmLnnLIq+Ny5XLjjgib/jMg3+Up77DHreHh091o9u9I0rrxbe/Mj07kYFoHVdnnrbd+rv2r3eE99zEP0/nhkIH24jakvZpOe+iy1wbmfviOvfsh0Ih7faXk08t7DrVqK71tQFqY/HbYP78R/nneyvqqDD9udfde8zbp5+qR7VjlUfPQPyOMzreLBz0Ts67QHXTscej1qbLw25WDr27i55/ibULmyx+Y5NVrFY3yVkclBcWBBBAAAEEEEAAAQQQQAABBBA4IMAPBBBAAAEEEMg2AgTQs01VZX1GvUBk/JysffNV69O5uX3x+ce2b+9ed1ijKDW1sL6fV4HzKaMGmgJ3OqiRltMXrLbaEaOjtT/+osBNq8593BTnC1/f6AKVodDBwFOFanX84J2CvK279DWNelVwOhQ6eF78dPV9wyMef840ffrj81baldeWSjIApMBy2QrVbPysF/0pip9ducE0arvAcQXjJx21rWBdh+6Puus0vfHkp1dY+ap3Jhpwj7owDRu54uLciOpQKPHyX39jOXvhzS9sxfvbTB0JvO+hTuyWKrumZpa9rPSza98RpmBcKJR4+omlk5x9qrPIgGNyrknqnFMKn279wgHwyXNftiJnnRt1Wv78R7oODZE71c46PzTUtQcFwTXyOxRKvHyhUMjKVLjdFMTWdNUvvfO1qWOHOgDkiks66JtaS+V//FNL3dTYS9ZsdlOYe99vHVmGlKxv3LDelj43y79EQflO8b7qwD94mBWVS+1IFsve3Wr39x5mh2pT8ZMrdFoR06h3PR+qM3UaiH/OobavD7fnRas/s+FT5ieo6yPy5nMdcPRuUD7V2WXBq59auSq1LFdcwrpSBwB1dkjsfrqP2r/33Bwqn6HQ/jaittR7yCRTwFnvscO1EaWpup770nuujYVC0W2wTPmqrqNAKBRyP9WRpVOvIab3TGJ5zhWXvu+CBi3am+p49ae/2pOL1li9Zu38eyd2f/YhgAACCCCAAAIIIIAAAggggECwBCgNAggggAACOUmAAHpOqu00lvVQQU59H+9dVUta6YsLuqm2Nc22gucKonu3VaBSQe7piUx57p2Tkp8Khj44YLQLLiq4pQBZUsGklKTLuZkvoNHVvR4dbxrtm9q7a1p5jbqd//KHptHMueISBklTm3aQrlOQuOgFl9h5F17qOhrc/9CwDO3UkZV2GtGtd8PKD34wvXsy8/2gWTnmzZzkRodfemXxNDNotLg6Cqgzi36qI0uaEyUBCbAggAACCCCAAAIIIIAAAggggEDwBSghAggggAACKRIggJ4irpx9soKcPQaOddP4plSics0GpqmdFeTWaNCUXs/5wRe48NKrbPaLa02jdjXKW9OjJ1Vqjeo9/cxzrFqdJm708Yr139ukuS+bRo/niiNwnpSb9mv67anzV5m+X5uOBhLJmGXD+++Yvrf8s48/sCY1brDBvTvY1i2bMuZmpJqDBSg6AggggAACCCCAAAIIIIAAAggEX4ASIoAAAghktgAB9MwWz+b3u/jyYjZy6gI7pdBphy2JAuX1mra151Z9Yj0eGWeaoviwF3FCjhbQtPgVbq9j+g5oTY+u0bZL395imqZbi75zWdN9axrpp5ett24Pj3TTWWtUdY6Go/AxJ3DdDbeaRr7raxC+/+YrWzBnmrVrfLt9/+3XMZdXMoRAlglwYwQQQAABBBBAAAEEEEAAAQQQCL4AJUQAAQSyoQAB9GxYaVmd5Ysuu9rmvLjO+gydYpdccY1panblyRsVfGejlm408PJ131i7BwYkK9iu61kQiC8QCoWswHEF7YSTTnVLwRNP9ttb/HPZRiCrBfbs+dd27/7Lz8YRefPZlcVLWVxcbrdvx/bv7ctNn7h1PhBAIPsLUAIEEEAAAQQQQAABBBBAAAEEEAi+ACVEAIGcKUAAPWfWe5pLrdHl5aveaZOfXmEaEbzms13mjQru2GOQXXrltQQ606xMAgggkJ0Evvz8U7uj7KXWqcUd9tKip+2JCcOs532Nbe/ePa4YZ55zvp1/0RVunQ8EEEAgiwW4PQIIIIAAAggggAACCCCAAAIIBF+AEiKAQCoFCKCnEo7LEEAAAQQQiBQ4/+LL7ZmXP7CyFavZvCcn2owJQ+3nn7a7zkQly1SwQeNn81UWkWCsI4AAAqkW4EIEEEAAAQQQQAABBBBAAAEEEAi+ACVEIOsECKBnnT13RgABBBAImMBRRx9jVWs1crNzrHh/m2l2Ds3SMXTi01bkrHMDVlqKgwACCCCQKgEuQgABBBBAAAEEEEAAAQQQQACB4AtQwmwtQAA9W1cfmUcAAQQQQAABBBBAAAEEMk+AOyGAAAIIIIAAAggggAACCCCAQPAFcnoJCaDn9BZA+RFAAAEEEEAAAQQQQACBnCFAKRFAAAEEEEAAAQQQQAABBBBAIPgCaS4hAfQ0E5IAAggggAACCCCAAAIIIIAAAhktQPoIIIAAAggggAACCCCAAAIIIJAZAlkbQM+MEnKPVAn8+fdeOzZ/HAsGtAHaAG2ANkAboA3QBmgDtAHaAG2ANpD2NoAhhrQB2gBtgDZAG6AN0AZoA7QB2kCMtoGj88WlKpbGRcEVIICehroN8qVH5Y2z33bvZcGANkAboA3QBmgDtAHaAG2ANkAboA3QBnJ8G+D/j/n3AdoAbYA2QBugDdAGaAO0AdpAcNvAH3/vC3LIj7KlQoAAeirQAnIJxUAAAQQQQAABBBBAAAEEEEAAgeALUEIEEEAAAQQQQAABBBBAAIEUCBBATwEWp8aSAHlBAAEEEEAAAQQQQAABBBBAAIHgC1BCBBBAAAEEEEAAAQQyWuC/jL4B6WczAQLo2azCyG5ABCgGAggggAACCCCAAAIIIIAAAggEX4ASIoAAAggggAACCCCAQLYTIICe7aqMDCOQ9QLkAAEEEEAAAQQQQAABBBBAAAEEgi9ACRFAAAEEEEAAAQQQyIkCBNBzYq1TZgRytgClRwABBBBAAAEEEEAAAQQQQACB4AtQQgQQQAABBBBAAAEEUiVAAD1VbFx0KIHdf/1pn3y4zhbNm2GDHmpvjauVshplLrZbrixkJS8oELVUKH6mO3Zfk9ttyqiB7rp//ve38V/mC+zbu9dWLH3O7ix3pd1+w4W2ccP6zM9ENrzjnj3/2ob337XBvTtY5ZLnWumLjrdxQ3rb//7enUGlIdlYElD9f/P1F7bypedt7JCH7L7wu6xG+H1X6fqiUe86vftuvORE977TO3Fo3862euVS27Xzl1gqDnmJUYH//vvPtn612b1bape/yr1n1J7uv7e22x+j2SZbCCCAAAIIIIAAAgggkCYBLkYAAQQQQAABBBDIKgEC6FklH6D7KvD68Qdr7bEBk6CPbgAAEABJREFU3Vzg9ZarCluLO2+2R3q0s+fnTrdNGzfY9m3f2e7dfyUo9e+7drpja9981aaOHeSuuzkcaFdw6ecdPyQ4nx0ZI/Dbrl/toU7NrFeHJvbd1i3204/bXIcGOjMk7a32/PSM8a7N31PnVlswZ5r9+vMO27dvn82cMiL8PDxgCq4mnUIOPRKAYut9NnvqaGt2RxlTELNO+autx32N7KkpI03vMh3f+ctPCUqq9qBjeic+O2uKdW1Z124rcbap/egdqiBpgovYkaMF9Pt13VuvWZMaN1jdCsXcu+Xbr7907xm1pzWrXrKWdcvblk2f5mgnCo8AAggggAACCCCAAAIxKECWEEAAAQQQQACBbCxAAD2Nlbd3795DpnC444e8OBsc/PGH761lg4p2d+1b7JkZE1zgNa3ZVgBSwaU7y11lCg6kNT2uP7TAtu+2WodmNeyVFxdEnfjFpk/s9992Ru1jw9zIcgVKK113jo0Y8IAlFii18H+LnnnCVi1bFF7jT1AEFLDU7AIaYT56UM90m6VBMxjoHTpmcK9s0+lCgd3li+dZuWKnW73brrUvPv84KNUcM+XYsnmj3V3nVmvXuKpt+vSjqHwdV/BEf3vnrz/bgrnT/G1WMkeAZyBznLkLAggggAACCCCAAAJZJcB9EUAAAQQQQCBnCxBAT2P979ixw4477jgrWLBgoss///xjQQ2ia6r2gd1b24b171hG/Pf37r+sT5e73bTuGZE+aZoLyrRuUDHRQOCphc6w/EceDVOEwPp3VlvDqtebpuo+3BTtGk288Onpic68EJFkmlf//ON3e2LCMDfyOc2JkcAhBdRJSLMLHPKkNBzUqPY508ea2k4akjnUpelyTLMvPNKznfXu3NzU/rZu2WS//LQjXdImEXOmw/t1sQaVS9inH73nk1x65bU2YfZL9trHP9mSNZutfNU7/WMKtqte/B2sJFtAbTil71BZ8wwkm5gTEUAAAQQQQAABBBBAIPMFuCMCCCCAAALZWmDnzp2WP3/+ROOuXjx2+/btlpH/EUBPo+6pp55qqshffvnFEltUwXFxcWm8S+xdrgDP/FmT7Z03VmZo5v74bZdNHjXAjfrN0BulIXFNp9ugynX2QJsGlp2mPN+4Yb21b1rNTaGfWPHPv/hyO/IoAuiyUbBco4Pb3FXZTXGvfYdbjjr6GKvXrF34JX/k4U5N9XEF1xpWKWETH3vYli6Ynep0YvlClbFB+Plq1eA2y8qvdfjkw3U2bfyQDKeaMXG4bdkcu9Nx//zTduvU4g5b8uxTvsWV15YyBXf9HRm2EvyE1UlH07XPmznJL+xpRc620U8ssolzltvlV19nuXPncUF2fd2GfxIrqRLQ+6VhCt+hPAOpouYiBBBAAAEEEEAAAQQQQCAFApyKAAIIIJDTBTRweffu3YnGXX85EI895ZRTMpSJAHqG8gY3cU0nq0DP4Up4wkmn2iVXXGO3125iVxUv7U4/8eRCNuP5N+zZlRts8IQ59uCA0Val1l2mIIE7Id7HB2vftC1ffBZvb2xs/vD9N9b5nlru+2c/++T9bDPluYKB94WD55r6V5KnFD7dTil0mlbdkifPEVauSi23ntM/NMW9grezHh+VLAoFznsPnWxL395i199YLlnXpOakNateMgX09Z3aqbk+O1zjlVHf7/zB2jX26Yb1WZJtzbYxaUQ/U4eeQ2XgmALHWZGzz7PbqtezWyvVtLi43O70XoMm2KLVn9mYJ5fYw8OnWoMW7d17UYFQd0LEh+6xZtWyiD2xs6r33X1NqpnqwsuV3hX3tO9h+Y88ytvFz6QEDrE/qU46Neu3sBkL11ix6260UCjkp/DW6y9Hzc5y9rkXZmhnHf/GAVrx3i8peYfyDASoAVAUBBBAAAEEEEAAAQQQQCCjBEgXAQQQQCAQAgTQA1GNmVsI/UO/RoUr0BN551MLn2F3NmppI6c9b8ve3WprPtvlgkaTn15hrTr3Nk3JrvOLXnCxnXFWUdP5pcveZlVrNbLuA8bYM8vft1UfbrdB42bZeRddplPdout++O4btx5LH3v2/GtjBvW0b776wmXr+IIn2RF587n1WP5Q8LxD8xp+MLB46Zut28Mj7c8///CzfcMtlezCS6/yt3Pqyob337Hmd5RJdIr7pEz+3r3b+t5/t918RSE3MlztJKlzU7t/1bJFbsaDv3f/5SehAJq/EYAVdVwY3r+r/97Il/9IU+cby4L/Xlw4N8FsG/nD+SlT4XbrPWSSLXj1U1v9yS/20jtf25wX11rPR8fb6eF33N69e+zoYwvYBZdcYepMdHXx0nZr5TusTZeHTe9Fve+eXLTGKlarG1WqzZ9tiLlp3DXThmasUGeGyMze3aGHXV7s+shdrKdQQCOau7SsY5GddNS5Qh0vOj80NEFgXEHcySP7+21EnRgyo8NTCosV06en5h3KMxDTVUrmEEAAAQQQQAABBBBAAAEE0kmAZBBAAAEE9gsQQN/vwGcKBDZt/MjeWf2K5cqVyxR87T/yCVu29hs3orxjj0F2bckyLmjkJakA4vhhfd13ueoajajLmy+/dzjqpwLQN9xS2SbNWW6VatT3j3379f4gtb8jBlYWzXvSXnlxgZ+ToudfbEcfU8DfjsUVBV76drnbD55fd8Ot1rZLP3ssHKj0OkQoGFO3aRs3TXAsliGz8qQAS+sGlcwbpZ/c+ypoqnPV7vW9ugvmTNNmui0aNflw13tM6XuJhkKhcJD2Sm8z2/9U2cYO7mXff/OVX5aSN5W3cy+4xN/OrJU/fv/NXjgwXblGl7fu0tfmv/KRvbz+exs46kmrcHsdO/nUwpYrLs7P0qvLFtmMCcPcdrlwwPzMc8536/E/csXFWdHzLzEFSvsOe9wfYbxj+za/40D8a7JiW+8NzbTxzYHOQl4eipcqa3fUv9vPt7efn8kX0BTiLWqVtbVvvupfpE4XwybPczMZhEIHR53rBD0b08cP9Ttuad/V191g5114sNOZ9rEkEPB3pOYdyjPg87GCAAIIIIAAAggggAACCCCAQCwLkDcEEEAg3QQIoKcbZcASiv43+6jCaWTyc6s+tlfe32YjHn/Obq5YPRw4PjbqnMiN1SuW2uJ5M9yuanWamAJhbuMQHwqwa3TnIU7J0kMahTl5RH8/D6FQyG6pVDOmA0kKBA7s3sYPvFxz/U320OCJNu+pyf4+C/+n0bAXXXZ1eC3z/mzdssnGDnnInpz0mGmGg8y7c+J3WvXSQuvZvlFUkDrxM8199UDXviNs4esb7Y2NO+3pZevdDAve+a+9vNh2R4wU9/an5qdmD+jT5W4XXL3impJWs15zl4wCu0XPv9itB+FDnRdWvvS8XxQFFBvd2zlLOnVoSv6hk55xs2podHnDFh2s0GlFknzWFWgbP7yP7du3zxQ4b9yyi8UdmMrdL1C8lVAoZFeXKG0nR3yNQrxT/E09H8sWPWND+3Syjz9Y6+/PqJUff/jeure7K+odoXtpFpEH+o/OlKnbM7vMKl9mLArkxv8ahuOOP8FGTXvedUSLn4f//vvP5kwfawufnu4fUqe0ek3bmX5n+jtZSVIgNe/QWHgGzJIsEgcQQAABBBBAAAEEEEAAAQQQQCAwAhQEAQRiSYAAeizVRjbJi6aWLXjiycmarlxTng7r18UFk84+7yJr0a67xR0mmOQxfPz+u96qnX5mUX89q1c0AvDxMY9GjUy++PJidumVxbM6a0neX3keM7iXP8pRwdfeQyfb0gWzo4Ixmmb6rns6Wlwy6yjJGybzgAJC82ZOsvqVittTU0ba+GF97L13Vifz6ow5TcHbhzo1c232UHc4rcjZNmLqApv74jqrXrepm148FAqF2+o5VqlGA//Sb77+wv764zd/O7UrCsx6swcUK3GjPdBvpK1fu8Yld2ulmqZn0m1k849ff95h08YN9qenVnEUtD4v4msdtC+zllAoZAWOKxg1q0ZS93bP2YGvdVBgs2PPwabR6UmdH7n/261b7KftP7hdJ51SyPLlP9KtR34okNeqwW3W5/4W9uzsx91XBKRX54zI+3jr6nTT/4GWtnHDem+X+3n0sQWs95DJ7ms43I4M/MjsMmdgUfyk9d5b8uxT1rVVXdcZxjug4PnwKfMT/foMXfPCc7NswrC+3unu523V67nOF26Dj0MKpOYdGgvPwCELlV0Okk8EEEAAAQQQQAABBBBAAAEEEAi+ACVEIGACuQJWHooTQwL6h+fBvTvYzzt+ME0L3rXPcDv+hJOSlcPt276zFUufc+cqmHv8CSe69Vj4UIA1cnSs8lSr4T2HHIWvc7JqUeAlctSiRo72HjLJfv5xu00bPyQqW/WbtXUB4KidGbjx1eaNNnXMo36wWkHD45PZRjIiWxqdOLBHm8OOPK/f/D6buehNK16qbNTU3RmRJ6WpZ8mbPUBBtk69BruOBpoJQZ0eNI24zgvCosCiyuWVRbMhaOaKUOgQ02J4J2fhT+85877WoVHLzomOIk4si5r2/4VnZ5l+6nihREa4K/1ZU0dFBbNPKXS65Uvi6zCUTloW1xkgotONl5Y6BnTvP8bUacjbl1E/M7vMGVWOyHRVJv1ue6RHW/+9p+PqlKCZDjTDi7Yjl6Su0bu8ebsHs2Rmhsj8ZYf11LxDY+EZyA62OSGPlBEBBBBAAAEEEEAAAQQQQAABBIIvQAkRiC9AAD2+CNvpIqB/8F8wd6o/4ln/yH95seuTlbb+0VojUDV6XRcUOftcNxWy1rN6SWx0bOWaDdz07Vmdt6Tu/+qyRf6oRQVf+w573E48+VSbMXGY/fHbLv8yBSorhcvi78iEle++/SpqJH/5qrXt3AsuSXDnfXv32gfr3jRNh77z158THE+PHRrp2q9byyiT+OkqwD9o/Gxr0+XhJKdM/ud/f9tH773lX1r49LPsyKOO8bdTuqLnIXL2gPbdH7E8R+S1qWMGuaQyu9ODu2kGfajjzMJnnvBTV8eb+x4Y4EaA+ztjdOXTj94LP1PDXe40w0P9ZvclOc27Oyni4/WXX7Alz850e0KhkF1d4ka3Hvnx9+6/bNOnH/m7FHCtUa95su/hX5iMFb2/IzvdRF7SsnNvu6l81chdGbaemWXOsELES1jv4z6dmycIng8YOSNBp4Q3X1tuze4o49pV/Gv0bHQfMCZTZgGIV4Rst5mad2isPAPZDpsMx6IAeUIAAQQQQAABBBBAAAEEEEAAgeALUMIMECCAngGoJGn27ppVftD2mutvspr1WyQr0KNA6azHR0dNK35zxeougLburdesdvmrbHq8UdMp8Vb6H3+w1jQy/vYbLrSSFxSwStcXNQUqkpPOkmefssjRsbE+AtCNqO65f6SjAm7eCEdNj//6iheiivz5Jx+aRoRH7UzFhqaUfqRHO3ugTQP739+7D5nCZVeVsEuv2j/1ffmqd1rbrv0SHU0594lx1qp+RZfm+KF9Dplmavr4LpMAABAASURBVA5q5O8TE4bY119+nuTl8hs0brbdcHOlQ7blb7d+aR+uf9tPp/DpZ5oC7wrQP9i2obVuWMk0GtI/4TAri+Y96T8PpcpWtFJlb7MJw/uaZnYoXqqsVa/b7DAp7D+c1ra/P5XEP5W2RtXWLHupvbxkfuInJWPv4nkzzOs4o9Nr1G9uh+t4s2vnL7YofN3dtW+xGy850T3TmuI8Jca6V1oWdawZ0L2NqUOK2km7bv2TPSPFR+G2MvDAM6o8aGS3OrNoPXLJf+RRVuWOhqYR4McVPNHUEUbnRp6TnHW1wwEPtraW9SpYUkZ6b3gdNCLTbN72AavbpM0h23/k+d66OkZMGtHP7ix3pasfvXcbVLnO1h/m6xoOVWaVIzXPk5cn/VS7TcvvA6WRkkWukXWta1WfGtF/bcky2nSLgrcvv/Csdbm3tmn6/ImPPRwVcNdJLTs9dNhnQ+dFLil9VtJi/PNP261n+8auviuXPNeenzs9MivuKxpUxvLXFrFhD9/vz74QdVIiG7LZ+tVmGzekt9+eyl5xqvtKAx1L5BJblIp3qOoqPZ+BlNonVg72IZAzBSg1AggggAACCCCAAAIIIIAAAggEXyA2S0gAPTbrJVvn6ofvvwn/g3hn9w/+oVDILrniGpszbYyNfrSHC/olVTgFWzXSVsFB75zTzzzHKtVsYE89PtLaNa7qgmuhUC7TP24/O2uKacRw3YrXWI0yF9tjA7olOfW2AiUK8N1x6+WmQNuCOdPspx+3udvs/OUnU4D278MEexXYm/vEeHeNPhT4aBsOlJ1a+Axtxtyieujb5W5TUE95VZBGATcFi+eH7f7995+oPN9YrrIVveDSqH3ehkbwzZs5yTzrBpVL2OaNG7zD/k8FXNqEA8SLwgHNzz553/74/eAId/+kAytK84i8+WzSnOW25rNd1mfolESDjhpxvnj+/tG5ulQB6t1//anVdFvWvfV6ggBPZOKeX2SQK/K4t64AzsJnZpjMvX3XlCxjH3/wrjWpXtpeXb7IlJbqRoHmx/p3de2xRrj9qoOA9nvX6afanBfE0YjT+s3amWZ20DThhc84y7r1G2UKMurcpJY///jdZk4ZYVVKn+/uFb/t9+t6b1SnkPjp6NlRgPiXn35M9PlSnfcIB8p6dWhiyv+Lz88xjcKPn078bQVVlZdHe7W3hU8/YQqKyc477+zzLrLG93a2UCjxqdt1XwWCbytxtqnDhgKhalO6ftmiZ2zD++9oNcMX3XPiiP6+oZ4xvZ9UrvfffSPJ+6utvP7KC9a+aXW/vYRCIWvQokOiz8Fff/5hFarWttWf/movvPmFXX9juQRp67lQx4rI9uedpHpcvnieNahc3NQRSIF7jZr3jns/VYcPd73HNPrb26eft9duYo1b3Z9oBxcdT2xR2xver4t7P08fP9S+27rFP00dkUYP6mm//7bT3xd/Jakyq25T8zx56ctixdLnLC2/D7y0kvtTrt77OPKa+CP6lTf9vnuoY1P3OzTyXG+9dZe+Vrdp2ySfDe88/VQ707PRqcUdltSzMmX0QBfQ1vnekhZjzZTQolZZ03tK6en98eWmT7TqFuVpTvjvBCqj2urqlUtNv4fdwSQ+9PeDpQtmu050dSsUc+80rz3p2PBwEF4d9+Jfnpp3qOoqvZ6BWHlPxXdhGwEEMkmA2yCAAAIIIIAAAggggAACCCCAQLYVSHYAPduWkIxnioD+QXzrgVFhmnL2m6++cPfVfgXF9A/S14UDPscXPMntj/+xZfNGNzJX0wZ7xxRobNWpj61Y+qwbbebt12i8FnfebEP7djb9g/rWLZtMwbj54QDvh+8dHPnrna+RcB2a1zAF+LZ//6232/+pwGTNes0tX778/r74KyrHvKcmRXUAqHXXvVa67G3xT42JbY0sHdi9jXn1EBmkUSB0w/ro4GLdJm3soUETEw3cKTgxpHcnUyDMs9ZI7d/iBb5Uxx1b1HQjJoXw+66d9uvPP2k1alF9KPCp0cK3XFnIDjX6UO5Ln5tlah9eIt9+/WU46LbL20zzT5Vv9rTRiQarylWpZcVK3GiaKvuGWysd9l6fffKBKRjsnXjSKYUtf/6jrNPdtUwdAbT/vbdft0a3l7SHOjWzZ56cGA6ur3XtV1PUPzNjgk5xi8oe2eYqVqsbbn/b3cwOejbadulnhU4r4s5N7EPlemrKSKtS6jz3/CQVoMqbL5/t+29fYkmY2tH999Y2jSBVOtVuvMjUBnSy8vfGyhddQFYdA7RPy6aNG2znr79oNcGi4ODrK5ZYvduudUHVwb07hL2m26O97rM2DSrZju3fu2tUPo2wPf6EhO8L3XdpOJBW65bLXSDYXRDvo2SZCqbZDeLtTtfNXQdGvjcPBwoXPn1wdO17b73uvmrgkiuK2XkXXZ7oPRVYVueJbq3qRQWqq97Z2ErfXNG/RmVd9dJCq1H2Erv16tNcXSbWcUUXrFq2yCpce6ZVLX2Blb+2iOuwpP1aftv1q2tvvTs3N91b+5S2Av1a9xZ1BlCg23tvePuvu+HWBLNDKLit+vTOif9TwfmGVUqYOt7omEbNPzhgtN0Zfm9qW4va6N69e7XqL8rXocqsPKfmefJuoPdPWn8feGkl96eeo8j3sXedOiXo3RsK7e8kIv+xQ3u759U7J/7Pes3aWeQ18Y9Hbuu9eW/dcq7jzFuvvxx5KGr9iDx5bd++g/WQFmP9HujZobF7p3k30e9YvUu9bQXMxw55yNu0Q33NhdqYOn7UKHup6zD33daDnTD8BMIr6oz1X7z32H///WcpfYeqDtLjGdC9Y+E9FabhDwIIIJBqAS5EAAEEEEAAAQQQQAABBBBAICcL5JQAek6u4wwtu/5xe8XS56JGhXmBOo2QnbvsPVuyZrP1fHS8afRurri4qPx8/+3XpmBqg8olTAGXyIMK+p58amHzRuBGHktsfd++ffbJB2ujDn31xWd2b93ytvbNV6P2R25oJPb4YX1NI8Ui90euxw+MXnFNSWvRrnuyRgBGppMZ6woAaCS/V+b4QZqff/rRvGDuUUcfY0MmzLV2DwywvIl0IFBajw14wDSiPDLv1eo0sSuKXefvUtCkfdNq/ihcHbj0ymvttCJna9VfvJGJGgHr7dwVDkR665E/de+pYx41jVKN3K8OANu++zpyV5rW17/7hr2z+pUEaeirB7r0ecxGTltgnXoNsbi43AnOidyh0b8ThvWJCohef1M5U3Beoywjz01qfePH75vS0fGvNm+0ZQuf1qrly3+knX/x5Ta4T0e3/eCAMXZT+apuPbEPPUsNq15vClIpSJnYOdqnMrXs1NvOOe9ibUYt8lc7igy8aTr6giee4kaiPzFhqHVpWccPyEZerGsjt/8LB7LWvfWaNahynXVrXT/RqfIV2PSuqVKrUaIjrJWu2oRmntC6d378n2tWveQC8/H3p8e2gpKRo3nVppVuKBRy06q/umGHjZq+0KqGy6DnS8e8RV9v8PSM8Vb9povMCyx7x9TeIr/CQOWTf/f77jKv44+C33///Zd3if9TAc+BPdq4evF2etPAe+9AbzSwd1w/98SbhUJB+EXPPKFD/qJ8PfzYNNe5RvWoUfWNq5c2BfTvCQdnNeLdP/nAikYCt29W3dSxSbtuq17Pnln+vt1a6Y6our+6xA3u6zl0jpbDlVmBaL0PUvM8KX3Pwns3al/8JTm/D+Jfc6htmWnWiPj3PPOc861Zm27+iH49p0N6d7LZU0cnmVzztg9Yq869/WuSOlFpqe3o9+qG999N6jS3X7+X6zRtbXEH3m9pMdZ91SHqmwMd6NwNwh9VajU0rz3qd8WYQT3DAfuDnXauLl460Zk0tn231Vo2qGjq+OH9vSKcXII/oVDIGt3byYpdd2PUsdS8Q9PjGVA7zur3VBQEGwgggEDOFKDUCCCAAAIIIIAAAggggAACCKRJgAB6mvgy6+LYvI8CXt5IvsRGhd1csbodf/yJUZlXcFBTuT4xYZibDjypUaSaorZOo1Y2Nxxsij+VcFSCERuhUMjOvfBSf4/+ob5b63r2/Tdf+fu8lWMKHOetup8aUf3F5x+79fgf+sfwmZMe8wOjRx9bwNp16+8CSvHPzeptBWvmTB/rBw8V/IoMyil/BU842c4+90K75bYa9tSSd6xU2YpJdgRYNO9JPy1dq0Vpturc1+IOBFzkrOB5ZNDkjLOK2gP9R0cFRRTka9Oosh9UU1oaaVzljrss7kBa2qdFgRiNeH88HEBX/tQZQ/u17N27J9GR7TqW0kVeGkWtn5HXHnf8CdaxxyBXx7ni4pL08a7R9fNnTbZ33ljp7XJB70Knn2kfrH3T33e4lXPOu8hdp/MU8PQ6OiiAPn5YH1PgUB1LKtWon2ie1KFFAVp9TUFiz6S8y1asZuoAonvIcvKogWHPHdr0F5Unsh3pgNp9x56DteoCWpNG9Hfr8T+atO5iCrR7+xU0VlBNX8Gg58zb7/1Unrx1/VRdN27ZOUGQ0MuT2oTOi1xy585jGuUaue/N15ab7h25Ly3reg9MHz/EFJR8K5HRvBdeepVdfHkx+2/fPv82ukbB75cWzjW9K8tdfZqNGPBAgk4HxUvfbP1HPuHam4X/03VD+96fIJiq88678LLwGQf/6Pnre+CrGry96jRTpsLtpo4EmhEkMXdNkV+zfgvvEtcGpo0bbHL2dqpMPR+d4PKl4H3/B1q5mUK8TgN6ppctnued7n5qX4/2jVxb1Q7l5cEBoy1vvnw26/FR/jOid0SDFu39dpycMr8VrtMP1q5RsslaIp8nOaXH74Nk3TjiJFnNmDg8Yo+5r3HQ7zh1ENMBmT8zc6ItmjdDmwkWPSOdeg2xZuEAutp6ghMidijo3KrBbc46Yre/elqRs00doI44Iq/bp84O+soDtxH+SIvxqmULTe/TcDL+H9XzXfd0srjwO151HH90t95tpW6OnslFHvp6Az1r8WdL8RJW4P+mcvs7Een8mZNH2FebP/MOu58pfYdqqvm0PgPKi96dWfWecgXnAwEEEEAgAAIUAQEEEEAAAQQQQAABBBBAIKsFcmV1Brh/9hWYNWXUIUd26x+0NZVwyQsKWMkDyy1XFbaGVa43TcO+dcumBIXXiE2NiG7QvL1p2uGP1r+d4JykdlSv29QU3NVxjaJLbMpcBQ+U/mVXFtdpUYuCiVE7DmyseOFZ0z/EH9i0pq26uECZtx1LP19dtshN8a08RQa/tO0tCto8Pm+l9Rsx3bTu7Y//U1OlTx0zKGq3giHdB451ATUdUFCq8z13+lPFa58CoIPGzbZTC5+hTbdodL9GDSsA7HYc+FAwWIGQA5vuh4Kej/ZqbwvmTLMa9Zq5Ub1nnXO+O+Z9fPv1/q8I8LZT+1Oj3zWlevzr7+7Q0xRgjL8/qe1Id++c22s3tq1ffu5tHvan7ucFFNV+I4O0Gn2pKbPrHWL6ZgWnhvW73wVoNRsuhn31AAAQAElEQVRD5A3V7ns8Ms6Wr/vWrrq2tH303lv+4bx581muuDh/Wyvxg34K4Gmk+imFT3ejzle++LxOS7Aof1Vr3eXv1zP8YNsG9uysKf4+rSg9deCYOGeZjXpiUVTw++77ultiU9MnZqy0ajW8x/oMm2Lxn9+9mhr8v/90SrosH773tk0ZNTDJtDTq/85yV1rpiwv67zt9TYGmX+/b5R7TLAfx60WJ1W9+nw0aO8uOLXC8Nt2iqfwjp4XXzjPOKmqdHxoaDkTn16Zb9u7dY09OGh71/CmI37xtN3tp4dPWtVVdv+OPu+DAxymFTrM+QyabN0W+gn4K4G7Z9OmBM8x0v4Gjn3TvCJWtSY0b3Fdm+CeEV9Rp4eLLrg6v7f+jdjtheF8/eK6OGurAs3fPHjctuRdUVAeVvsMej3pHJKfM6hSx/06H/4z/PKXX74PD3/ngGeoINHnUAN/DO1Km/O1RMyyog8PMSSO8w1E/VVejw8+I2nkoFIo6Fn9j44b11vyOMqafkcf0vGkWgKeWvG1jZiyxzz7+wP7553/+KfqaCW8jLcbxZ1U4+tgC1jvczrzfBe+9vdoWx+skUDocPD8vouOb2uKcaWOsW7yvN1D+9DUA6niw9O0tVqdxa3t79Qrtdos6FuTOk8et60NtMSXvUN03PZ6BrH5PqewsCCCAAAIIZLkAGUAAAQQQQAABBBBAAAEEAiBAAD0AlZhVRdA/UKfnvRUgWPDqp/6I6LjceezII4827z/9Y7xG3g6eMMemPvuqC/B4xzS1rUbH6h/RtU+j6OJPmavvOZ/+3OuW54i8FvkP6zo/X/4j7cSTC1n8/zSacli/Lv7umytWtzsbtfS3Y2lFeR3Ys62bGveMcLDNC36lJo8KJsx9YpxFTs8cPzDuBc8jg26qo4eHT7Wzil7g31ZBvicmDImaulkHNTK1bpM2/ghU7fMCrhqx69XpkUcdbSecdKoO+8tJpxb219OyosD0zzu2RyWhqYZVz1E7D7ER6e6dpumZ6ze7z44+poC3yxTEKlbiRuvad4TNeuEdqxIRaFagcdT05/2A4rdbv7QvPv/Ev1Yr6kzQKonpmxU814jl52ZP1an+ct5Fl5mCb3NfXGeVazawt19fEQ6wd3NtxDup1l33mgKa3rbqa+aUEVFBP3V0uP7GcnZfk2rmjQA+/cxzoq5TfUbmT++Hnu0bu8Cxl7aezxbhAPmSN79wHThOOqWwDep1n2nabJ1TvFRZu/HWKlqNWpTWU4+PjMq3F1hsdX9fF9iNH5wufPqZ/mj+qMRSuaFgaPx7pDIpd5namQKaCjDnjfj6hM8/+dCmjR/izvE+9FxFBiK9/QpsL54309t070R1jHl5yXz31RjKr9qd7uWdpLQGjHrS1Da8fV9t3mgLItqO3h/DJs2zk8P1EzmjQf7wezIUOhjEvbtDD7u82PVeMvbGyqV+p6o8eY6wlh172Y7t35umep8zfaw779Kritvj81eZOvi4HeGP5Jb56GOODZ+9/4/KldznKb1+H+y/c/I/9fUQa1a9FHWBXOo2bRM1w8Lff++OCmh7F+g99MTzb9hVxUt7u5L8qffQfU2rmTdrhU7U86YOGnreeg2aYHreBjzYyiID7OpocFO5g89cao3VFpUH3VeL6qd7/zGmDh3a1ntl8fwno55hnRM5A4l+7+g51zT9usZb1HFHv1cWvr7RGrboYJpdo0+Xu6M6h1SsXtf03vWuSek7ND2egVh4T3nl5ycCCCCAAAIIpF6AKxFAAAEEEEAAAQQQQAABCeTSBwsCqRHQNLAKxqTmWu8aBY7qNW1ri1Z/5r5nWiPQvWMK6mnEpQIO+kd+BQH1XeoKmui7pr858D2rCtw1bnW/H5D4539/24vPz/GScT81aq1z72GmYOzrK5ZE/SO+TlDA97QzztKqv2x4/x27/547/UCigkptu/X37+OfGAMrCmZ70zirTiKCbanK3ZbNn9pLi572r1Wwa9zMpX5gXCPKu7e7yyKD5zq5aSKj8xVYiQzy6bwKt9ex9t0fibJUmh2a1XABV9VX09Zd/eOy13VaVL7IEYval9olscCVRmoWOK5gspL86ovP7KFOzfw2oosUFFJnDo3ub9qmmyl4qX3Dpzxro2csMs2U8Oary2zxvCd1ugt69h4yyU448RS3rY+NH62PCg5pZLfSVEBMx+Mv8Ufv6jnSCN9p81+1YtfdaLni4tx03g93uzeq7d9csbpFjhhXuqovjaLUuhY9XzeVq2r331vbr+/yVe+0WyvfYV6wTjM/KBDs5U+BMI3WjuzEonPmrfjQmoVN5KvOEgMeaO2Png6FQlY3/C7If+RRum3UojxFBufUHsbPesmVbdu3X9kH6xJOk39NyTJRnTOiEkzFxmVXlfBnuEjF5f4l191wq01+eoVNeeYV01cp+AfCKwoyxu+8oPY+YOQMPxAZPs390blPz5jgdz7QeQ8NnmSrXnrevACk9qnDxh+/73LXqB1GBjW1U1/FsfCZGX5dqmNC/xFP2Aknn2qP9GxnmnJegXg9szUb3O1P8a52EdkBRsHDyBHIx4afobFDHnJT3mtGA69NTnjqRSt0WhHd2i3q/DFz8mNRz5DynViZU/M8pdfvA5fZFHyow4U6IelZiLzspvJV3Tshct+ZZ59nV11byt+lNjJj4RrXySRyZgL/hAMrSlszG6izTfwZPvTM6nnTc6nnTfXzSM+2fgcHJaHfrV37DPdnItC+1Bjruvfefs1vG9pWpxuVVetadv36i0U+w9p3/U3l7Ypi12nVLatXLvVnUNEOvU/0u2DO0rXufaNttaUe990V1V70jtXvi1DoYOeOlL5DNcvMzl9/1m0ttc9ALLynXAH4QAABBBBAAIGcLEDZEUAAAQQQQAABBBBAIJ0ECKCnE2ROTEYjy0ZPX2QKjKSk/AqG6zuONQp3xXvfWbsHBlj8EcZKT99HqtHfefPntx4Dx7p/5FfAYH7Ed00rKKcAgf5hXddo+WHbd/bphvVadYtG3nqBnl07f7H33n7d7Y/8KFWmgh1z7HFu2vhHerS1gd3b2j11yvlBJQWeWnXq448Qjrw2q9cVGBnYvY0LRCqf8QNkqcnfmlXL/ACFjEdNX+imclZaCrj17tzcIkcxar++qzzyO5W1T4E3Bc+9Ecbap7p4oN9I02hWbWvRdPEdm9ewzz/5wHWk0BT+ueLizExHzY1i3b9mpuBS5EhDTW2uYKJ3PCU/c8flNpl51yhYpfJ624f6qeC5gsrff/NV1GkKHGlaerXV6eOHmIIq3j6dqCCSN8JYgcLeEVMc67iue++dg220xA232D3te/idCXRO5KKvQnjq8VH+LnV2UPCtXJValituv6G+CiH+iE3NKNCma78E6S5fPM8PyspCnSKG9O7oB8+r1mpkd4QDqV6wVGXQ9O5HHxgdvG/vXps0sp89O3uKnycFuPqNmO63Ia+zxLpw0M076YJLrrRLrrjG2/R/yuOdN1b6wbl8+Y80BYq9aaE/XPe231a9izTSVgFvXavA2HNzokfme+el5KfK9+jYWSkOomuadM2cMXzKfFv14XbTT5UzFDoY7PPyoam833r9ZW/TBfJGTl1gak/+zgMrOlfBU22qDeu53/HD96agtfapXgaPm22fffK+ezdoX5Vw3ZW+5TatukXPXdtGVezV5YvctjotPTLmKSt40snWqcUdtuTZp0xpd+jxqJsZZPbU0e48tYv47934I35/3vGDbXj/XTutyNmm0c+L39hkkW1SCenrGvp3a2lrXl2mTbcoeJlYmVWX08YOSvHz9OsvP6fp98GQPh3tl59+dHlLycemjR/Ze28dfI69a2UQF37veNv6qU4j+mqRJWs2+23k3AsuOWQHEHU8mDrmURv5aHdXT2oPSsurrwEjn/CfNwXzRz/aw+J/9ULzdg9GzSAg49S8s/Se/+yTD3V7t2iUuN7hodDBNv7nn7/bX3/+4Y7rQ8H7hi3a+19J8P7aNTZ2UC+/g4/agb7iQWmpo52uUXvt2aGxbQ//jte2Fr0POvUaYgWOi+70tGXzwa8jONw7dFc4cP7aiheUnKXlGdC7XYZKSPnKiveU7s2CAAIIIIAAAghkXwFyjgACCCCAAAIIIIBA7Ajkip2skJPsJqB/KH579Qr784/fXdar1LrLnl25wUY8/pwNGDXDX7S94NVPbdm7W23NZ7vsqcVv2b0dH3KjmXPF7Q/wuQQiPhQUVpB2x/bvbdikZ/zRl5+FA6xTD3wvt/4B/p4OPU2BLe9SjWrt1+1e+y0cKNe+o48tYPWatfWDhHv3/Gt//XXwH/F1jv7B/OaK1W3L5o0uaL54/kzTVLM65i3qLHBVidLepv9TgYkl4fMVEPR3ZvDK7r/+NI0412g9jVbt1KKmP6pQAWCNxtX32KoDguoopdlRUOudN15xl6ljg0awesYqZ5d765g3jbc7KfyhYIGCMV6gI7zLFOAZ3q+LrXzpeW265f7ew1yHicjzNKKwdcNKzr9kmQp2U7kqUYEjBa/eCQdQlYBGHre+v6/FhQNQKtvSBbPdd3JHBmZ0XnKXgieebPpeXe98BZVPOOngSHBvf/yfG95/x1o3uM2+jxc81zTr6iCg8zUV8TMzJpiCy/WbtnNlUt0pwPnHb/tHBNdp1Mpv27pGweenHh9hq19Zqk23XHjJlX6Qye2I+FD76/9AKz/AJx9N3R85wlfB884RMyl4l999X3eLPE/7P/5grXlTTueKi3PTJSvY740krxoOwLbp+rDNmDjcD1pXqFrbH1Gr/Ax9uLM9MX6Y7fn3XyXpltqNW/kBLnUouLfurbYxopOLTrrsquKuE4vWvUVtcdjD99vyxc94u9xU9HoevR3e6GpvWz/LVqxmqtuZk0fYQx2bmkajan9aF70jNoSDwkpH1jOef8ONJI983z069imbu+w9UzB09Se/uJ+aOUMdP47Im0+XJrlEdgY478JLbeKcl31b7yKv3Q/v1830vtP+0jdXsoLhoLf3FQ567+m9+c8//9jzc6frFNO+2o3u9d+FG8Jt+J46t9oP3261X3/5yZ2j6b6VfotaZd0zni//kTZ4/BwreVMFGznwQRfcjP9O0Pnr3nrNNE3637v/cunoo3ipsqYp6p9ett5uq14vQRve9t1WaxN+7pcvme8HVpMqswK0munhmScnhp+nhywlz9OsqSNNX9WgPMkgJb8P2jWuai8tfNp/vpRGcpfIjijeNer0oefZ2478mSsuznUSO1wb0TWq94c6NrPHwwH0kjeWtxUvzNdut6izzp13tbRccft/t+qZHN6vqy2aN8Md9z7UqUWzyIRC+4PcqscnJz1mms2i0b2dUmT8xMSh9l64DSjtUChk14brPhTan672/fzTdtcpzasH7Tvr3AusyNnnmZ5x3bddoyq29avNOuTa6oBRT0a1fQXPO99Ty+8M4k4Mf2g6/Mj3QXiX/aTOkTUA6AAAEABJREFUGx+8q1W3yDzyd47beeBDPmrbWzZ94vak5RnQu9YlEv5Qx73IfGXmeyp8e/4ggAACCCCAAAIIZIUA90QAAQQQQAABBBAIlAAB9EBVZ+YWRt8ZOmfaGHdTBVUa3dPJjdAuXvpmK1uhmr9oW9NZK3jhTk7Gx4I5U23jx++74PllV5VwV+gf+BWs9oI0+sfpc8672B3Th0YE31u3vP304zY/SKR/OC90+lk67Ja43HnsyCOPtsj/FIxoc1dlN9WwRvPqPpHHtb4hHDQbM6inCwprW8v6d1Zbw6rX24DubezLA//4rv1Kb3DvDlah+Jl2d+1b/OC2jqVleSccRK50fVG75arCVrPspda1ZV0bN6S3G+XppaspaDVtcOe7a1nlkufaDRcXtLuqlrRRj3S35AbV//rjN/vm6y9ckpddXdwKnV7Erau8iQU+dfC6G281Bb+0rkUGCvA8O2uK/e9/f2uXC6ApaBMKHQysbN64wdo0quzqTCcpcHzHzZfbqmWLtOmCK5qOWqMr1X680doKuiiwqmmLjyt4Qjg4ncudn9IPdQw465zz/cvyH3mU33b8nRErCnCrc0XrBpVM1hGHrF6zduZNs66OHtPHDXEdRTTKMlfc/mCWOje8/+4b7jIFdEqWqeDW9aEyPdKznU0c3t89R9qnJanOAerM0DkcGP/ko/d0mlvuvq9H1LXvrlllOkcBewXvLr3yWneeRqlH3ltt/vVXXrC24bpQujpJZe3QvIYtfHp/AFajjjVbxHtvr/aD7DpPoztDoZDpui4t69iCOdPs8mIHp2VWOYucda4pPdnpGdUIUuVHs1EoDS0aNa6f3uIFWBc+/YQbxeztV75DoYNt6OhjCniH/J/qWFG+2Bk2flgfd23TNl39Y6ldUaBNo3O994+moj83HOTWeyjyfXfjrVXsjDOLumBorrj99Z7ce0aOmpXNSacUirpUedBIYrX7Xb/uD3rrhNdeXmwt61VwnRo0Almj0c+94FJ7YsJQF/TWOeddeJkVOu1Mvx7UhvUVBnfd09GUrs55dfki07tQ9aPnbeS0BW6a/JGPPGgaUa5z2nZ92E4/8xytus5Tj/Xvago06x3pdh74uOb6Mm6K+lDoYF3pkNraGytftEa3lzR1orj86v3vdx1LqswPd703HCR+1s1QoK/8yBW33zU5z9P8mVMsd548St5S+vtAnXuatO5iRS+4xF2f3I/ff9tpH61/J8HpF152laljR4IDKdihDijNa5UNvyMXmjq0XFW8VPj9+YNLQTMbVK/TLPw+3G+ud8qjvdqbFzwvGX7f5MlzhDs3slOLdmjWi8mjBpjaj87LFZd846mjB5k6HymdE08uZJEzhLj3wr0JO13JVr+jbrmykHtOw5nW5W6J37FIv9v1Lvrmqy9ccF1/p9CJJ5x4ilWp2TB86f7yap981AFk65ebtOmWQ71D9c7SLBV79uxx56blGVBnL5dI+EOGodDBfGXWeyp8a/4ggAACCCCAAAIIIJAqAS5CAAEEEEAAAQQQiBZIXdQpOg22cqCApsyeM32ceUHExi07+0GV9OBQUHTUtOfNC54rzV07o6df3xEOlGtkm4IEGsHW6PZS9vfuP637gLF23Akn6hJTUC5yqvCjjznWzggH8yziP41u9MpR6PQzI45Ery5b9IwL+GjEvUZWK9C07duv3ZTjJUrf4k7WyPme7Ru7IOLvu3aaRvTOmDjMBYLdCan80IjzYQ93tsgRfMlJSmX74vOPbc70seYF1W+69CQX2NfodQX+/zkQ4PbS2/HjD7br11/c5hFH5DWVySuvAms6cP2N5cLBuP2BdW1ffFkxizswKlyjURtXK+UCPDeWq2q5DgQRFKTTVNqqL12jtEYM6GYK7mrbWzRyfWCPNqbOEs1q3mQvLZzrAjKT5ix3o7U3f/axab+C8/o+8YcGTYyahcBLJzk/NdrzunBZvHM1Qlz397Yjf2r0cae773AjKeOfc0+Hntaqc2/zvkpAU8Pf98BAU3AyV9z+QJTS0nefK4Codbl/+/WXpmdJnSMahQOKSxfMttb397HjC+5vvzpv7VuvmWYT0LoW3VvfT9+gcnH3ncJFD3QiUTBJwVydo3soKKQ6l68C5r2HTPKnPtZ3b+srC3Su6kWj4ru1qmfHFijoAmjaH7mccVZR6z5wrOU/8kh75cXn/OnUdc4Lz82ySSP7W50KV7vOImUrVjOVXbMh6LjKqY4RD7Zt6NspP489/qxp9gedo2Xv3r364QK8etYaVC5h6mDx8GPTTO1NB/PlP9I0JbrWvaXI2edaXLjtedv6+Xv42duz51/XbgaNmx3VqUDHU7O8+drLfscBdRooU/721CRzyGv0rHknaFrzD997y1mrzl8LB8kbVr3ePcvqzBDZeci7Rj81Avmm8lVNz/2GiCCuphRfMGeqtaxfwdVD7nBQuf+I6Xb+JVfoMrfofaUOAgqea+YQvX/Xv/uGX245652qZ1hB2eo3XWSayr/Ffd3tuhv2vwNdQuGP7du+dXkPr/p/FEzt3u4uN2uEnjVNve0FXnVSUmVetuhpV5fDpzxrecLvJJ2rJTnP093tu1vBE07W6Sn+faDnum6TNlEBWpfQYT5+3rE9wewUuuSCi6+0uHhtVfuTs6gN6J2tTlnfbd1ievd16jXYQrly+c5qF/odp/TUienBtg3c+1NB8U69hrgOBPo6DT1HkUFuBZ37dW1pe8NB5Caturj3rNLQkhzj9t0H2vkXXa7T3fO7599/3LrSjex0pXxohLfu70448KH3QPFSN7st+VxTsoxb18eG9w/O9qFp3R8d85T9+ftvOmRFzjnPfx+og45Gz6uDzp9//mHqLOJOCn8c6h264f13reHdHcJn7f+Tlmfgxlsqu0TyZeF7ymWADwQQQAABBBBAAAEEcp4AJUYAAQQQQAABBNJdIFe6p0iCOUJAgZkXn5/jl1WjRBXg9nekcaXKHXeZgmyRyfy0fVs4APitv0vTZ9cpf7V5I9hOLnSaPfb4c3bpVcXdCFCdqKCnF3RW/h7p0c4UiNIxb9E/6pe8qbxNfnqF6budvf3xfyrwoOu9oJH+0X9kOMhfq+E9foBl+ZJ5LogYee0Vxa63yCB+5LHkrCuoNrB7G9Pou+Scf7hzFIhRkECj1xtWud7KXH6KG9GuaWw18lzBX5konWWLnrHbSpztgmTa1nJ77SZWvV4zN428trWo3AqodWxew41G3b7tOzc6sm2Xh+2YAsfrFLcsnvekq6+SFxSwGmUutvfeWe0CtsVLlXXHvQ8FfTWyXyPPNdpw0LhZ7n6dWtzhRq5qv4JbCgpphLN3XWp+3hAOengjaj/7+H17KxwoVQBaaSn4+9brL1uHZtXdDAUKdGu/txx19DGm7y5u3PJ+P3iuYxqZfHvtxn670D4FHdUeta5F99DXFNxw8QkufXXGeHDAGKvbtK2deloRneKWLZs+NX3XuoLmqrPbb7jQ+t5/twucDQoHh0uWKe/O8z7UwUOjgtWRQ3WtgPao6Qvth3BAU1+JoPNWvvS8zZ462jSiukbZS23W46NcgLLHI2Pt6GMK6BR/UTC194Hvaf95x4/2wdo3/WNaWfXSQtNoewXiK9xex3o+OsGKnn+xXXT51TrsgnvTxg02jXDXDtXniKnPmQL428N50j4taj8KgDW94ybrc38LU4B32OR5ViYcDPZGACu4+8VnH7s0FTBT3fRs39j27t0/elTpaNEo2NZd+rrp1c8qeoF2pWnRu+PJScPdfZXQu2+stI8/XKfVdF2KnH2en94fv+2yVvUrWqkLj7MbLznRHmjTwBQ4veKaktZ76GQrfMaZ/rneip5NL+C77q3XTe8s75ieKc3moICh6nSQazsVLG/e/FHtVMc0/bs6Y8hVHSTUVpWOtts2qmJ65+pdmCfPETZi6gJr2rqrnRcOoCr4qfO0zH9qsnsXqF7V2aXZHWVM785Xly8ydTRRxwi9b4ucfXAGCOUxqTKPeXJxuM0UUNJuSe7zdGejVnbGWUXdNXr+UvL7IP5z7RJJxseO8O8qjUKPf2pcRGea+McOta3ZGPQ1F3r+1SlKs114774zw21GnWe861VX6956zTRK/Z3Vr5iCuZqGv8LttU0dFHSenqMpIweY6lbvVJ374w/fmd6pjVsdfJcl1/iOBvfYldeWUtKmTm362odHe97n8rA9/LtAB7w6bxP+naAg+HkXXmoaMd97yCSbv3KDla96p07zF71P1GGg9YHZPvT3gYlzXra43Llt44b33XkfrF1jeofpvVGnYjF7bEC38PvrWHPpX3SZO0cfh3uH6pkKhSJGix9bwM1+k9Jn4IJLr/w/e2cCb9tUP/Dffg8ZHp75SXhk7G94ZQihpxAZM6SSqVCmUmlAZI7IlGQOUYSSoYgyZcwYhWSeQuZ5/r/vfta177nn3HvuGe6Zvu/z1t17r732Gr7rt8bfWusQXMC3FfVUHrh/JCABCUhAAhKQgAQkIAEJSEACEmg2Af2XgAR6hIAK9B7J6EYmc/LE9hH9lDMrfnrNSDtOGxlW0a8pppwyV7wU7dI9k+tHn/anQFmGsnqVNdbPX911xy2BwnGdFRfOFcF/Ovc3uT0K4t1/fHRcfddz8bc7n41Djjsrn8xfd+MtYrEJy+Ruyv1BAYOC8pOrrRMnn/u3/Hjj5I4dlZdeeE56zK8oo1Bg5g81/jn/rFMGKOVr9KriZ+xwHzV6dMw5SXE76xxzxhxzfqis289MUpB+c7cfx33/vrNPmYhDjuNFoZYUzGl3JEf3oyjBTTkz9TTTxo9/fnrsuv/PcwVuOTcogb6wxtKBogeFKQsXUNrVqtwqDYNdjdt/Z+9ckY/yCaX2Gh8fH59d/sP54gLCvWGSwrT0u09NkrEzLr4pPrHKGv0UkKXu0vPoUaNiqsLu2WTPFQ4oudbaYNPcL3b+Yp8MOzlRmqNQQgE47/wLxXFnXBLLrDAxVl9743wnN4qrLTdYOT6zzDx9Cx6+sOUOsedBx+Y7x1FcJv9Q8KBMPe7w/QL/2LmKgpJw55n/fSUu5YTjwFEk8e0zTz8Z5RSDvCOsH+x7RL5YhEUN631+qzwtvEsGNwf9/Ndl64rHHn4gV4AhS/MW0se3HL3N8d7c77/r9vnPE6y21IdymXju2aexDpRg51/977jm7ufjvKvuii9vvXOwwCF/WecfdvOTB8mbhf9vQr5IID036grnLMsqeseu94OO/nWgMP3Ikkv3c0ce7vi9ffvqyIfuf/8I66JD5P2ISUpvZAd7jolnMQP3Kb+RA56ff/aZ/JQD7kvNSp/6bF4HLvuJVfJ8/vBC/xeLvKdATG5vvv6qoF44ZO/vBHUx9uTtqeddHZ9aY/38u+Gkme+TGT1qVFXladppp4ta24Msy1Jww7q+/vqr/erH9PHLL03eOZ2eh7pObmsPj01W/1iwaI382Xn3A2OHXfbuy+c5P9dTWboAABAASURBVDRvfHqtDXKvfnXcYflPh3CkPostyOuf/+rCWGHiZ+K+e+4MylbucNIflOn7/WC7uO6qS3O/9jjomCitU0ePGlUV4yzLAvnjp1wmeZ2fHnLepHaLewx19mEn/q4vz1lEc8ofro7jf/uXoE2hzV52hVWCMs4ijW9/dYNYbam5858oYREQcs+iG9qT6668pG/BDIsJSDOKc9KLbB19+p/ydjnJMOFjKL+V6tBGlYFW11Oksz7j1xKQgAQkIAEJSEACEpCABCQgAQl0PwFTKAEJVEtABXq1pHTXR4CjgFFqJotFF/9YbLLF9rkyJNk14zrnJOXu4h/7+ACvN97sa/Hz0/4YTK6nl6uttVE+oc8zE/BPP/VfbnPD7lR2jidlZW753p97774j7v7nbfkTyor8puTPrvv/LA742a/6hYcTFOhPFHbUYrfaWhtWVAzzfijz2CMPxhknH93PGUoGdppi1lz/i8GuVRQl7PDr53AYD+xoTEeQo+xYe8MvD/gapXhSkFZSzvHRtjv/MD/WHiUqR6R/fpJslGOJ3Jx87lWBIo74H3rCObHYR5fFi4qG3f5nXXpbLPue0q6iw2G+4MhrFlQkhhwBjmK5nDefXG2dOOOiG2O/I07JFZnl3JSzg8UnPrXmgFeJwwqTlFzpJfcog9Jz8Yq8n/S7K/LFItgjDxwVzz07eFEqoThmZ/xOP9g/yAcUof/+1z9wMsBwpDJuUcpOM0nZ+IWtdsgXE8ACJrBJH4374Nwx56RymJ654g7lWwoLO8yKn1ojkBnu55pnvvjZKedH0c2MM83c76ho3GGQ6RPO+muwGIZnzEyzzBbb7LRbHi+eyRt2x3KPWWejzQP5IQ08N9JwAsQff3d6n5dTTjlVfGMS1xnHztxn16ibJSbVbysU5CD5C2N27u5z2El9iw+WXu6TeTnADcrLHx1yfL77lmdMqQIRO9ydcPZlgczxjGF3NgpNyuiu+x8Vxfyecqqp+sLDLQbZ2vunJ8aPjzqtXx04ZvoZYvOvf6cvj3BbNMghaTj591f2y9vhpLno33DKU63tQTG84dwXd+IXv7vrn7cGSvGiXbl7FvKwi5wj+9l1Ths29TTTBotsPr/5djFq9Oi+z7Isiy995Rt5O0PZpw7gJQsUUFKnvP7XP27qUzzzPhnK5rFn/Dkod1mWJev8OhzG+LPJltvl3xX/UKefeM7luVK7aF96Txn/+rf3DOSQsk2akftv7X5Q7Hf4ybkcYs/pKaXf8kx6SUeqNyhH1dahjSoDpKFV9RQMet4IQAISkIAEJCABCUhAAhKQgAQkIIHuJ2AKJTCCBFSgjyDsbgnq6ssu6tt9PmaGGeM7ex4SzVAmlfJCAfOD/Y4MlD1ZluVKoKMnKc53njTBzg62onuUOT8+6vT4/Bbb5bvrmIjnuNi9DjkhzrrklrKT+ex8O+fXJ/SlDaXg5f94Is7/292x5fbf7fOeSfIs669o4CX2O35331yhnWVZvutvu+/sHaNHT8HrmgxHiHNUNfFH4X/6hdfHaedfGyiyMcQRZe7vL/9XXPnP/wXx/d1ldwTK3fU22TLmmqS4HCrgovI8ud14868HSlmUGSw42OewX8Z39zosV8bippxyDiU4StLSXYzsdN1rksJt7Myz8mm+y3DfSQqR48+8NOYZv0Buxx8Us8ecflGwuAHlR8pTuG7wpa3j7L/8I1fMo8DDfSNNlmW5Aun3l98RW263S3xo3vlzRQ5hsKtypU+vFRw1/OcbH84Vhyxa4N1wzTobbRZf23mP3G94fOuHPwlkuMgBP1kMctAvfpPvquYZBiijyWu+SWx4h+HY9132OjRXMq09KYzSnfGjRo+OD3xg6ij+QzbIL5SalK30bqVPfTYuuv6BuPjvD+ZMsux9WWdxxY7f3y9XOhIHTmwgX8op35DZXX50aO7PmRfdlJe5LHvfL8rFZtt8K1f84ZY8P/W8a+KHB/6i7M5xFLvIBgsGsizL45CYsKiF+KQ0NPJ677//GXfdcWufl9vsvHsssdTyfc+NvCEfqOM+tcb6ubekKTHedOtv5nVZ/mLSHxY7cHLGH6+7Lw4/8fcDFnOsutaG+e5e2MKMMlfOHfnwwx8fnec5dUyWvZ9H7EynPBAv6oHtv7t3nHvFnbHa2hvFqNHvK3EnRSf/j+ycdM4VseQkPoSLod6l7BBP0oBfueP3/vBcbZrf+6TvUm15qqU96AukhpvZZp8zpp1uzIAv/371ZXHtFZcMsE8W1PW333J9bL3xp/Lj79lVzbtFFvtoUPdTRnguNdQXlA1OYZh7/IfjgCN/FeR38VSYaaaZrvSzYEHSyb+/KpKSfYCDSRbVMs6ySYr8rXaa1DYdGdRtyAsLLajTqdsneTXkf+Tn4GN/G9S5y620apx24XVBWzRq9GRZGz1q1IAd8bQHhLPPoe8vLiEgmFRbhzayDHxy9XXyNowyl2XZiNVTpFnT2QSMvQQkIAEJSEACEpCABCQgAQlIQALdT8AUdhYBFeidlV9tEdtn/vdUHg+Uq8XjnXPLJv9hhylKII5eP/Hsy2LCMp+ouPOdifWddzswVyyjXOa42NXX2bhPCVwa1XvuuiP+9tc/5dYofT6xyprBDjwm86eddkxuP9ifLMti4mfWzXcnE79DJikCUNwM9s1Q78Z/eOHgWGriz27g+RZYpGJ68Yv4sksYBdz39zkizrrk1vjbv54JlF4o1VFEc6Q6ym6uKFmKxwHjBwbF13bf2Sv+duez+XHYq352g37hfma9TWKdjTbHaa4gQLF22gXXD1CS4iDLsuD7P157b3689ukXXBefXvNzZRVwo0aPzo8lh91fbn08d3/hNf+JXX700/jgh+bFu6Ya8nrbSQru3/75ljztHAfOAgqOzeao4XrzE65bTFLQwxUe7CZHgVguUfOMXyB+cfqf+hh8b+/Do5LiPsuy2OCLX42Lbnggdtv/qKCcFP1E8b3F13fJZR/lFkp4FmIstdzK/fI1fTNmhhljmmmnS4/9rsuvvFouE+QPik8UVf0cFB6yLAuUsKNGT1aAFV7ltwsuunj85k9/z8soeb7Awv9XNj44zrIsly/kh/LFMe2DMeGbRphXXn6pb+cupz58YcsdKsaxEeGRd5RVZG8oxsgTeTtq9EC+yCqKa+oOmFUqc8SZeoM8577UrLzq2nHZbf/N87yaY/EX+sgS8YtfX5TnKWFT71J2pplm2lKv+55nmXWOfNFPNWnu+2jSDemvtjwNtz2Y5H3N/8fNNU9QV5d6wA7xfb7/tTjvt6cEJxvwnp3WDz94b5xyzE9j7RUXiq99YfW48/abeZWbrb+xW14PDKWEphxSX5x58c1BO5RlWf59+jNxkmIXpXSWZcEVhfy39zi47GKV9A3X4TAeNXp0rPv5LYK6jfJZaaEF/lYyy0+qX6hzOVGCOrDoDjllYRfKeepN5JG2rVI4fA8T5Ip2ZLD6Ar8bUQayrDX1VJGT9xJoAQGDlIAEJCABCUhAAhKQgAQkIAEJSKD7CfRcClWg91yW15/gbb/1w/jKDt+Po069oN9xv/X73Fof/vT7X8drr76SRwKFDwooHt5999148L5/cxujR0+RKwTzhw75M2r06PyoZZTqKKI51vf3l/8ruA6mVBsseSjDdt3/Z7lyF0UJigwUVIN947vWEmDxCIpQlFuDKe5bG8v2C50TFH6w75HBgpRv7X5gv13g7RdbY9QOBGg7PrvBpmWjQhtz4B7fiNWXnjtWWHjGWPn/Zo1NVv9YHHvYPsFPE8R7/9gVjpKbthZl8XvWNV9YOINSmsUnXMsp+Gv2fAQ/ZJc9bQ51GQu3bHdGEL5BSaBrCZgwCUhAAhKQgAQkIAEJSEACEpCABLqfwPBTOGr4n/hFrxNgtyC74gbb/d1pjJ579um48dor8mhz9O6EpVfI7/nz7NNPxR23/p3bmGe+BfIjp/MH/0hAAl1PgB247KrlJxEaocjsemAmMCfA0eecWJA/DOPPHB/8UH78Oj9x0alK7mEkV6cSkIAEJFAvAb+XgAQkIAEJSEACEpCABCQgAQlIoCkE2kqB3pQU6qkEqiDADvOH7v9P7nL6GcfGTLPMmt/z5+/XXNa3A51d3ByZjL1GAhKQgAQkUI4ACy84sYAj/8u9L7Vjx/lPjjkj/9mNWk8GKfXTZwlIQAISkEC7EzB+EpCABCQgAQlIQAISkIAEJCCBdiWgAr1xOaNPHUzgv489HG+//daAFGB/0s8Pyu3nW3DR2OBLW4f/JCABCUhAAkMR4MSCb+x6QJxx0Y2x/he2illnn7PvExZqLb38J4Ofwrjg6nvixLMvixVXWdOfCOgj5I0EJCABCUig7QkYQQlIQAISkIAEJCABCUhAAhLoYgIq0Ls4c4eXtN52/dR/H+sD8L8n/huPPHR/vPTiC3HAbjvEww/cmys1dt7twJhpltn63HkjAQlIQAISGIrAPPMtGN/b+/A476q74pq7n8/NxTc8GEeefF6ss9HmMfOssw/lhe8lIAEJSEACEpBAgwnonQQkIAEJSEACEpCABCQgAQkMRkAF+mB0fNc5BOqM6Yfm/XCfD+xEP+OXP4/ddvpy3HjtFTFq1KjY59CTYpkVJva58UYCEpCABCQgAQlIQAISkIAEJCCBFhAwSAlIQAISkIAEJCABCUhAAk0moAK9yYD1vjMIzDHnXMFxuym2V1xyfq4853ds9znsl/HJ1ddJr5py1VMJSEACEpCABCQgAQlIQAISkIAEup+AKZSABCQgAQlIQAISkIAE2p+ACvT2zyNjOAIE5h6/QCyw8P/1C2ne+ReKk353RXxqjfUjy7J+73zoR8AHCUhAAhKQgAQkIAEJSEACEpCABLqfgCmUgAQkIAEJSEACEpBATxBQgV5nNj/00EMx55xzVjSvvvpqnSH4+UgQGDP9DLHp1jvHVFN9IPi92j0OOiZO/v2VA5TqIxEXwxhpAoYnAQlIQAISkIAEJCABCUhAAhKQQPcTMIUSkIAEJCABCUhAAp1A4MUXX4yxY8dW1L2il3300UebmhQV6HXinWeeeeLxxx+vaKaZZpo6Q/DzkSIwcfV14vLbn4wzLrox1lz/i/2OdB+pOBiOBIZNwA8kIAEJSEACEpCABCQgAQlIQAIS6H4CplACEpCABCQgAQn0CIHpp58+nnvuuYq6V/Syc801V1NpqEBvKl49l4AEJCCBwQj4TgISkIAEJCABCUhAAhKQgAQkIIHuJ2AKJSABCUhAAhKQQCcRUIHeSbllXCUgAQlIoJ0IGBcJSEACEpCABCQgAQlIQAISkIAEup+AKZSABCQgAQlIoMcIqEDvsQw3uRKQgAQkIIHJBPwrAQlIQAISkIAEJCABCUhAAhKQQPcTMIUSkIAEJCABCQyXgAr04RLTvQQkIAEJSEACrSdgDCQgAQlIQAISkIAEJCABCUhAAhLofgKmUAISkIAEJNACAir+vcsfAAAQAElEQVTQWwDdICUgAQlIQAIS6G0Cpl4CEpCABCQgAQlIQAISkIAEJCCB7idgCiUgAQlIoDMJqEDvzHwz1hKQgAQkIAEJSKBVBAxXAhKQgAQkIAEJSEACEpCABCQgge4nYAolIAEJ9CwBFeg9m/WDJ/ydd96OePcdjQyUAWVAGVAGlAFloMtkwP6NfTxlQBlQBpQBZUAZUAaUAWVAGVAGlAFloPtlwDw2j6uXgXffmeR2cLWZb3uMgAr0HsvwapP7+C03xAlrL62RgTKgDCgDyoAyoAwoA+0kA8ZFeVQGlAFlQBlQBpQBZUAZUAaUAWVAGVAGul8GzOMRzeNTNlqxWvWZ7nqEgAr0HslokykBCUhAAhKQgAQkIIFWEzB8CUhAAhKQgAQkIAEJSEACEpCABLqfQKel8N1Oi7DxbToBFehNR9y5AWy2z76hkYEyoAwoA8qAMqAMKAPKgDKQy4B9Y8cHyoAyoAwoA8qAMqAMKAPKgDKgDCgDykAXysAXdtu9qMzzXgKhAl0hKEvg/1ZaKSZ+8YsaGSgDyoAyoAwoA8qAMqAMKANdIQP27R3fKAPKgDKgDCgDyoAyoAwoA8qAMqAMKAOVZKCssqwjLY10IwioQG8ExS7049F//zs0MlAGlAFlQBlQBpQBZUAZUAaUgbaQAccnjs+UAWVAGVAGlAFlQBlQBpQBZUAZUAaaKANdqOrrzCS1SaxVoLdJRrRbNJ574onYc63PamSgDCgDyoAyoAwoA8qAMqAMKAPKQJ0y4NjKsaUyoAwoA8qAMqAMKAPKgDKgDCgD7SsD+224Qbup6YxPiwnUqkBvcbQNXgISkIAEJCABCUhAAhKQgAQkIIERIGAQEpCABCQgAQlIQAISkIAEuprAu12dOhNXC4EeVaDXgspvJCABCUhAAhKQgAQkIAEJSEACEugsAsZWAhKQgAQkIAEJSEACEpCABCQwPAIq0IfHqz1cGwsJSEACEpCABCQgAQlIQAISkIAEup+AKZSABCQgAQlIQAISkIAEJCCBESegAn3EkRugBCQgAQlIQAISkIAEJCABCUhAAhLofgKmUAISkIAEJCABCUhAAhKQQCcSUIHeiblmnFtJwLAlIAEJSEACEpCABCQgAQlIQAIS6H4CplACEpCABCQgAQlIQAIS6FECKtB7NONNdq8SMN0SkIAEJCABCUhAAhKQgAQkIAEJdD8BUygBCUhAAhKQgAQkIAEJ1EpABXqt5PxOAhIYeQKGKAEJSEACEpCABCQgAQlIQAISkED3EzCFEpCABCQgAQlIQAISaCEBFegthG/QEpBAbxEwtRKQgAQkIAEJSEACEpCABCQgAQl0PwFTKAEJSEACEpCABCTQ2QRUoHd2/jU19uvsuGNoZKAMKAPvyYD1gXWiMqAMKAPKgDKgDCgDyoAyoAwoA8qAMtD9MmAem8fKgDKgDCgDPScDa2y9dVP1bXreeQRUoHdeno1IjP9vpZVi/W/urJGBMqAMdIkMWJ9ZpysDyoAyoAwoA8qAMqAMKAPKgDKgDCgD3S8D5rF5rAwoA8qAMlCbDIyI8s1AOoaACvSOySojKgEJSEACPUvAhEtAAhKQgAQkIAEJSEACEpCABCTQ/QRMoQQkIAEJSEACbUFABXpbZIORkIAEJCABCXQvAVMmAQlIQAISkIAEJCABCUhAAhKQQPcTMIUSkIAEJCCBbiGgAr1bctJ0SEACEpCABCTQDAL6KQEJSEACEpCABCQgAQlIQAISkED3EzCFEpCABCQggT4CKtD7UHgjAQlIQAISkIAEuo2A6ZGABCQgAQlIQAISkIAEJCABCUig+wmYQglIQAISaCQBFeiNpKlfEpCABCQgAQlIQAKNI6BPEpCABCQgAQlIQAISkIAEJCABCXQ/AVMoAQlIoM0IqEBvswwxOhKQgAQkIAEJSEAC3UHAVEhAAhKQgAQkIAEJSEACEpCABCTQ/QRMoQQk0H0EVKB3X56aIglIQAISkIAEJCABCdRLwO8lIAEJSEACEpCABCQgAQlIQAIS6H4CplACEihDQAV6GShaSUACEpCABCQgAQlIQAKdTMC4S0ACEpCABCQgAQlIQAISkIAEJND9BEyhBJpDQAV6c7jqqwQkIAEJSEACEpCABCQggdoI+JUEJCABCUhAAhKQgAQkIAEJSEAC3U/AFLYtARXodWTNO++8E08++WSMHTu2onn11VfjzTffrCMUP5WABCQgAQlIQAISkIAEJNA5BIypBCQgAQlIQAISkIAEJCABCUhAAt1PoFkpfP3112PMmDEVda8zzDBDPPXUU80KPvdXBXqOobY/o0aNiumnnz6ee+65igY3U045ZW0B+JUEJCABCUhAAhKQgAQkIAEJjCQBw5KABCQgAQlIQAISkIAEJCABCUighQQ+8IEPxEsvvVRR9/rCCy/EzDPPXG8MB/1eBfqgeIZ+Oc000wzqiEwe1IEvJSABCUhAAhKQgAQkIAEJSEACDSGgJxKQgAQkIAEJSEACEpCABCQgge4nMHr06KYmsv0V6E1Nvp5LQAISkIAEJCABCUhAAhKQgAQk0BYEjIQEJCABCUhAAhKQgAQkIAEJSKANCKhAb3Im6L0EJCABCUhAAhKQgAQkIAEJSEAC3U/AFEpAAhKQgAQkIAEJSEACEpBAdxBQgd4d+disVOivBCQgAQlIQAISkIAEJCABCUhAAt1PwBRKQAISkIAEJCABCUhAAhKQwHsEVKC/B8JLNxIwTRKQgAQkIAEJSEACEpCABCQgAQl0PwFTKAEJSEACEpCABCQgAQlIoHEEVKA3jqU+SaCxBPRNAhKQgAQkIAEJSEACEpCABCQgge4nYAolIAEJSEACEpCABCQggbYioAK9rbLDyEigewiYEglIQAISkIAEJCABCUhAAhKQgAS6n4AplIAEJCABCUhAAhKQQLcRUIHebTlqeiQggUYQ0A8JSEACEpCABCQgAQlIQAISkIAEup+AKZSABCQgAQlIQAISkMAAAirQByDRQgISkECnEzD+EpCABCQgAQlIQAISkIAEJCABCXQ/AVMoAQlIQAISkIAEJNAMAirQm0FVPyUgAQlIoHYCfikBCUhAAhKQgAQkIAEJSEACEpBA9xMwhRKQgAQkIAEJSKBNCahAb9OMMVoSkIAEJNCZBIy1BCQgAQlIQAISkIAEJCABCUhAAt1PwBRKQAISkIAEJNC9BFSgd2/emjIJSEACEpDAcAnoXgISkIAEJCABCUhAAhKQgAQkIIHuJ2AKJSABCUhAAhIYhIAK9EHg+EoCEpCABCQggU4iYFwlIAEJSEACEpCABCQgAQlIQAIS6H4CplACEpCABCTQXAIq0JvLV98lIAEJSEACEpBAdQR0JQEJSEACEpCABCQgAQlIQAISkED3EzCFEpCABCTQ9gRUoLd9FhlBCUhAAhKQgAQk0P4EjKEEJCABCUhAAhKQgAQkIAEJSEAC3U/AFEpAAhLoBQIq0Hshl02jBCQgAQlIQAISkMBgBHwnAQlIQAISkIAEJCABCUhAAhKQQPcTMIUSkIAEqiKgAr0qTDqSgAQkIAEJSEACEpBAuxIwXhKQgAQkIAEJSEACEpCABCQgAQl0PwFTKAEJjBQBFegjRdpwJCABCUhAAhKQgAQkIIGBBLSRgAQkIAEJSEACEpCABCQgAQlIoPsJmEIJdBABFegdlFlGVQISkIAEJCABCUhAAhJoLwLGRgISkIAEJCABCUhAAhKQgAQkIIHuJ2AKe4uACvTeym9TKwEJSEACEpCABCQgAQlIIBHwKgEJSEACEpCABCQgAQlIQAISkED3EzCFwySgAn2YwHQuAQlIQAISkIAEJCABCUhAAu1AwDhIQAISkIAEJCABCUhAAhKQgAQk0P0ERj6FKtBHnrkhSkACEpCABCQgAQlIQAISkECvEzD9EpCABCQgAQlIQAISkIAEJCABCbQlgYYq0NsyhUZKAhKQgAQkIAEJSEACEpCABCQggYYS0DMJSEACEpCABCQgAQlIQAISkEC3ElCB/n7OeicBCUhAAhKQgAQkIAEJSEACEpBA9xMwhRKQgAQkIAEJSEACEpCABCQggYoEVKBXRNNpL4yvBCQgAQlIQAISkIAEJCABCUhAAt1PwBRKQAISkIAEJCABCUhAAhKQQDMJqEBvJl39rp6ALiUgAQlIQAISkIAEJCABCUhAAhLofgKmUAISkIAEJCABCUhAAhKQQJsTUIHe5hlk9DqDgLGUgAQkIAEJSEACEpCABCQgAQlIoPsJmEIJSEACEpCABCQgAQlIoPsJqEDv/jw2hRIYioDvJSABCUhAAhKQgAQkIAEJSEACEuh+AqZQAhKQgAQkIAEJSEACEqiCgAr0KiDpRAISaGcCxk0CEpCABCQgAQlIQAISkIAEJCCB7idgCiUgAQlIQAISkIAEJDAyBFSgjwxnQ5GABCRQnoC2EpCABCQgAQlIQAISkIAEJCABCXQ/AVMoAQlIQAISkIAEJNAxBFSgd0xWGVEJSEAC7UfAGElAAhKQgAQkIAEJSEACEpCABCTQ/QRMoQQkIAEJSEACEuglAirQeym3TasEJCABCRQJeC8BCUhAAhKQgAQkIAEJSEACEpBA9xMwhRKQgAQkIAEJSGBYBFSgDwvXQMdvv/32QMuCzeuvv1548lYCEpCABCTQKAL6IwEJSEACEpCABCQgAQlIQAISkED3EzCFEpCABCQgAQmUEnjllVdKrRr6rAK9TpwvvPBCfOADH4ipp566rHnnnXcCU2cwfi4BCUhAAhLoLgKmRgISkIAEJCABCUhAAhKQgAQkIIHuJ2AKJSABCUhAAsMkwOblKaaYoqzeFX0setnXXnst3n333WjWPxXodZKdaaaZgl3mZFQ5M80008SoUWKuE7OfS0ACEpCABNqKgJGRgAQkIAEJSEACEpCABCQgAQlIoPsJmEIJSEACEhh5AqNHj4633noryuldsUMvO/PMM0eWZU2LnJrdpqHVYwlIQAISkIAEJNCWBIyUBCQgAQlIQAISkIAEJCABCUhAAt1PwBRKQAISkECNBFSg1wjOzyQgAQlIQAISkIAEWkHAMCUgAQlIQAISkIAEJCABCUhAAhLofgKmUAISkEDrCKhAbx17Q5aABCQgAQlIQAIS6DUCplcCEpCABCQgAQlIQAISkIAEJCCB7idgCiUggY4moAK9o7PPyEtAAhKQgAQkIAEJSGDkCBiSBCQgAQlIQAISkIAEJCABCUhAAt1PwBRKoNcJqEDvdQkw/RKQgAQkIAEJSEACEugNAqZSAhKQgAQkIAEJSEACEpCABCQgge4nYAolUDcBFeh1I9QDCUhAAhKQgAQkIAEJSEACzSag/xJoPYG33347nnzyyXj66afj3XffbX2EjIEEJCABCUhAAhKQgAQkIIGuI2CC2oGACvR2yIUOjwOTJ0cccUQst9xyMfvss8eoUaPigx/8YKyxvpLU3QAAEABJREFUxhpx/vnnx5tvvlkxhbfccku88MILFd+3+gWTQ8svv3xkWdYws9Zaa8Vrr71WMWnPP/98nHXWWbH11lvnk1MVHTbgBRNgt99+e+yzzz75JFgDvNSLLiaA3F500UWx7bbbBnLTSUn905/+lNdP1FHcDxX34aT1iSeeiJ/+9Kdx7rnnDuVt171vxzqEOnTTTTeN0aNHB1eeuw58FyUoydCBBx4Yzz33XBelrPqkIKPIai/LLAzs+1QvMx3r0oi3DQHq3nPOOSeOPPLIePnll4eMF4ryK6+8MhgXTTHFFDHHHHPErLPOGtx/7Wtfi2eeeSb3gz4WfS0M97llD/+B2wMPPBAHH3xwcO1hFEMmfTh97yE904EEJCCBNiZAffeHP/whTjnllDaOZe1Ro19/8sknt838CG3xL37xi5h22mlj0UUXjVtvvbX2xPmlBCQgAQlUT6BLXKpA75KMbEUyUIwzGTDnnHPG6aefnk8MPPTQQ/H6668HEyYzzTRTrLvuunkH5e9///uAKNKJefjhh2OppZaKv/71rwPet4MFkz/XXnttvPLKK7HnnnsOiNKECRPitNNOyxXeTPyWmp///Oex+eab5wsK0sdMUr311lvpMVem33DDDfH9738/xo8fH2PHjo3Pf/7zcckllwSTW30OG3Tz0ksvBUrQL3zhCzHNNNPEEkssESeeeGK88cYbDQpBb7qFAGX8n//8ZxxwwAGx2GKL5fKy5ppr5uW9k+Tl2WefzcvvU089FZhddtkl/ve///XLpuGklXJ555135mV2rrnminHjxgV+3n333f387NaHdq9DLrjggvj1r38d77zzTn4944wzujUrOjZdTKqwwK7YDjGp8eqrr3ZsmuqJeC/KLBOH9n3qkRq/bQWBbgmTPs+OO+4YG220UXzzm9+MY489dtCk4f673/1urL/++vmCQdrXq666Kh+zcH/cccfFFltsEY8//viQ/a1BA+qSl9Rvl156aXz961+PmWeeOeabb77Ya6+9XKxckr/IVTeMM0qS5aMEJCCBAQSY+3zggQfy9naZZZbJ51VoU9t1HnRAAoawYH7k3nvvjZ/85CexyCKL5P2DrbbaKtplfuT+++/PNw0x1rzrrrti9913z+dhh0iWryUgAQlIoMcJpOSPSjdeJTAcAgx4d9hhh/je974XW265ZVx99dWx0korxdRTTx1TTjllLLnkkrni4qCDDgo6UquvvnowUVoMI8uyXMGOooMJhqOOOqptjwFE0bzzzjvH0ksvXUxCrjRj1xgTUOXM9ttvn68qZWEBSsh+H7/3QAfuxhtvjOmnnz5Q9L1n3ZQLEzooKTAo+8nHpgSkp11B4NFHH80Xt4wZMyZefPHFrkhTpUQMJ63svj/ssMPimmuuiccee6ySl11pbx3Sldk6ool67rnn4sc//nGccMIJ+eIz26ERxd82gdn3aZusMCK9QyBPKXXuN77xjTjmmGPyZ04OW3zxxfP7Sn/Ypc5JO9ttt12ssMIK+alcK664YvzsZz/r++Rf//pX1/cV+xI7yA39JLgcf/zxceqppwZt3iDOe/rVcPrePQ3KxEtAAh1P4Lbbbss3JdD2MvfX8QkqSQDzI8x3sqCuXZTmJVH0UQISkIAEJFAzgVE1f9nSDw281QTYOcbkN7ulmYRBaV4apyzLgiP9Pv7xj+eTByicijuvk3tWYLKLe++9945DDz20bZXopHWhhRZK0c6vM8wwQ34d6g/HsqJMh0Wp2wkTJgTvfvjDH8b+++9f+rqhzyxwYAcJx0Vx7H5DPdezriMwfvz42GmnnYIyzu6kLMs6Mo2chsHPFMw222yBOeSQQ/JjR4uJGU5aKbMMDs8777wBi2qKfnbjfSfUIWuvvXZ86Utfyn9OhCu7nLsxLzo1TbSlHNduO/R+DvaizFKP2vd5Xwa8k8BIEChVnn/4wx+O6667LlZbbbWKwbNrizEcDpZbbjkufWaTTTaJ3XbbLeaff/58h/WCCy6Y7/Cir4Up19/q+3jYN53xQeonnXnmmfG73/0uX2zQGTEf+VgOp+898rEzRAlIQAKNI0C/l/kDFuB/5jOfaZzHbeIT6eNUSzZWsQO9TaLVFw1OguFEUTZGET/mXWmv+xx4IwEJSEACEhiEgAr0QeA07VWHe4wSnF3jHEPETnMGv5WSNOOMM8anP/3p/PXll18e7MTOH0r+LLvssvlOCDo1TDaUvG6LxyzL8t/5qzUysPjc5z436OfzzjvvoO8b+XIkw2pkvPWrNQSYCGXA0ZrQ6w+Vo+effPLJwHA/mI/VppWFQ9NNN91gXnX1u3atQ6hr+VkRjpLjynNXZ0QHJ65dZWikkSKjyGqvyuxIysFIhjXScmR4EhiMAMrzXXfdNR9v0X/hlDB2jLGQebDv/vznPwc7hcu5wR8moTltbLPNNsuVxfSx6GthuC/3Xa/Y9etP9kqia0ynrGoE52cS6CECtGP77rtv/nMhnZps5lPmmGOOTo3+kPFmbqQd05dlWXCKDj/NyU/xofAfMjE6kIAEJCABCbxHQAX6eyC8VE/g6aefjltuuSX/gMleFOn5Q4U/aZf2Cy+8MOgR5RtssEFss802sfXWWw847r2C1x1nvdRSS8VUU03VcfE2whKQgAQkIAEJSEACEpBA5xFA6YDynGPYUZjfcccd+c9wMZE/WGoY41155ZWDOfFdjxAwmRKQgARaTYAdzphWx8PwJSABCUhAAhLoLQIq0HsrvxuS2nfeeSfYhY5nTMA8+OCD3FY0KM55yRE50047LbdlTZZlufKcl7vssks8//zz3DbatNS/j33sY/GjH/0oYNHSiBi4BCQgAQlIQAISkIAEJNDVBJLyHKUDJ4hde+21UfqTVJUAvPzyyxV3n1f6RnsJtCEBoyQBCXQ4gRtuuCFYCMbCrg5PitGXgAQkIAEJSKDDCKhA77AMa4fojhkzJuaZZ548Ks8991zwW+iVOrIowf/yl7/kbtnxMH78+Py+0h9+j2aNNdaIq666Ko4++uio5G+l79vdfuaZZ45PfOITdRwF3+4pNH4SkIAEJCABCUhAAhKQQLsQ+O53v5sfefvFL34xRo8eXXW0XnvttXjqqaeqdq9DCUigGQT0UwK9TYANO1/+8pfjuUlzj71NwtRLQAISkIAEJNAKAirQW0G9w8Ocfvrpg98sT8n42c9+Fr/97W/LKrsvuuii/Dj2UaNGxfbbbx9DHRU4xRRTBJM7+H3ooYfGv/71L2413ULAdEigDQjw21f8/EQbRMUoNJkA+Ux+NzkYvZdAwwgosw1DqUcSkMAkAlNOOWXwe6S1nH7F7vWXXnppki+1/af9pU6r7Wu/koAEuoKAiZBAHQT++9//xmabbRb33HNPHb74qQT6E+CEnW7brNU/hT5JQAISkEAjCahAbyTNHvJrp512ivnnnz9PMUe6f+lLX4pTTjmlnxL91ltvDXY80DH5yU9+Euuss07ufqg/iy22WIwbNy7+97//xRlnnNHPz6G+bdf3p59+emyxxRYNj95//vOf2HnnnWPeeeeNLMtyw2+sr7TSSnHhhRfGcCetyKt//OMf8YUvfCHYLZ9lWcw111zxne98J9+5ElX+o0N61llnBacJzD777Hm8OLlgwoQJ+RH2Dz/88JA+MWl39dVXx5prrhl//OMfc/f8HADpJY38HMAvfvGLAfLx6quvxtlnnx0wIMwsm8yl2nTA4IEHHsjTvOOOO+bhwvE3v/lN4EeWZbHpppvW9RMDpOPYY48NeJCWLJscxwUWWCAoK7zPA67zz9NPPx2Ew4KXm266KfcNu+9///v5ZGqWZflOpBVXXLEmeYlB/sGRMLfaaqtIMpBlWZAna6+9dlx//fUD8q7oXcr/TTbZJLbddtu+V4888khss802kbiRJyziId/7HJW5YRfVH/7wh1h++eVj8cUXjyeffLKMq8ZYIS/nnHNOfPzjH8/5ZlkWM800U8C9mrxtdLkeLFXEBxmZMKlsJqZZlkWtski+11uH4Ec9ssP3qQzPOuusgXyUMvjTn/4UyGGWTS57Wfb+9aMf/Wjwnm9gA4ssK/8eN+UMcfj3v/+d5zknqyS2H/zgB2OjjTaK888/P5Dxct82245wCb9YR1Iuqa//+te/DrvdGCy+cKCs06ZQD7CYjvbq61//etx9992DfVr2HfUXdeSCCy7YV7aoA3bYYYe4//77y36TLIkLeUIbst566wVKIeyQV2Qh5REsqLeqjV8j2jviMZTMpnRwpdz+9Kc/zdsQTgSac845A/PhD38472ul9OF2JAx13jXXXJOXqdR3gOdyyy2Xt8fIXCPjQfopm+1Ub5E++jbIJ/FCjrIsy9u/VVddNU477bRAVnA3mCnKwnD7IPW2HeRTLf2uculhl9i3vvWtPP1Z9n79WdoXvnXSWGH99dfP+wZZ9r67iRMn5mW0nN/YccIVTKmv6e9ih6EeoI+Q+I8fPz6OOuqoAfUtdQk/qZTqd+SVeoA6An8aZWBKfUv9mupArrQD9JOJx1Bh1SMTtZQV2t/pppsu77vTZj300EN9UVx33XVz+yybnFe4w32fg0k3tfS3EifaJfIiyyb3F+EGP95P8nrQ/3Ai/+hrjWS7S1tBm0bbRhtH/tLm0fYRp0EjXeYl9QjjLvzLssmckVPktRp5KeNlRSu4wrce7vjx5z//OR87Ii9ZluV9dPLgm9/8Zr4YvhYOpZHmJwgo71k2mUmWZfn49/HHH+9zmuodyn2Wve+unJymj4g/9V6jxhv4y5iknrEofpCuH/7whwFH2nnkCr48U1cVx0a4HwmTZJN+V5ZN5otsEk/eDRUH5KARZRR/6DMRLv0MWBE2fRH6sYxrOWkDwz35y/tk+J6+H+U09VlYZPSDH/ygbDudviteac+pw6mjyJssm1xn0f5TVqvhUfRvsHvi2y3ppU0aTv/1kksuiYUXXjg/nTIxok2iLGTZZBmkrkwykNykdmj11VePW265JbdmDoFyjlyQZ2msl7987w/xa0T/kjqAn0xBPumP0K4hG6SdMN4LruoL8lRv/7LqwCY5ROZo2xkPwSrLJrMmLdQ/tbRvlBn6Y0sssUQ+hoMJbQ99OMrupGAH/d+IONF3PPnkk/N6lXQQp2KgyAT2WTY5vVn2/pX2h/e4R0ao+7Ks/HvcVDKEWW/dgSyvsMIKeX+MPg/tWKXwtJeABCQggcYQGNUYb/Sl1wgwMD344IODXQ2kHSU6Hawtt9wy6BQyeFlttdVyJSMD829/+9t5A4/boQwDmP/7v//Lnf3qV7+Kxx57LL/v1D909i699NKGRp+OF7xRIjBZePnll+fKyLfeeivOPPPMuPnmm/OJ7O22227ApGGliNDRZ8JmySWXzP149tlnc6fw5zQABiennnpqHk7+oswf0kr4DGr4jSoG9wyU33jjjWDwyoB7n332yX8CgEUYyErRGzrPt99+ezARNVFQuPsAABAASURBVOOMMwaDXk4xwJ6ju+goHnHEEXmaiC8D57vuuqvPC+SOSQYmaL/2ta8FaSBOTzzxRDCAIR0f+chH8lMR+j567wY3DGpgOt988wVuX3zxxTwsJrFZJAILnDMgYnEH98MxxAWGKPX233//oAyRDuzhlJSsSy+9dDz44IPD8brPLbJBpxxFMeHA8p///Cfvc6UgC18YgCUFMmWXvGGwsPXWW1c9cZB7WOEPK8Up/6SDUyfuvPPOXG6Qg3333TePB/lB+kl78obO/+9+97v4zGc+E1NPPXWe/5xu8frrr+ffw47487MRuOU78uQb3/hGMEmX7LDHIDcodRgsM3nGJP11110XlBPeN8M888wz8dnPfjZXkvJbbfAlHCb14L7BBhvk9SJ2pYa8a3S5Lg0jPcMdnshIo2QRWa63DqlVdkgXE8ulZRjuvCs1LMy54IILcuUeE97pPXJJfcp77KhHqNNYsDP33HPndQcTMek9bkoNadhwww3zwTl1HG0gecuisL333juXf5QQiy66aFBnkRelfjTr+e9//3sQLvUzp70wiUD+zzLLLHHxxRfHpz/96XwSnAmGeuOQOFAXzTDDDHHttdcGdQBXlL0sZNlvv/2qCoayfOSRRwZ5QBr22muvYGEaijKOF+YnX5jIYGKmlCeTTgcccEB86EMfyifhaENIH/UKk6W0eUzepPqDvIIL8aOMlPqXIow9slFre4c/w5FZ3GNQOLLQkAVByDATiUwc3nbbbblCHTvSh9uRMEzqMgGGPNFGH3fccfHzn/88FlpooXyh1MYbbxzYM9lTb3xgTp60W72FzNAO0U+iPWVBKeWdPsQxxxwTtO/snkJWWIyHPJeyqKcPQvi1th3EpZ5+V2k60vPYsWPjsMMOC+SVye9kX3plQvncc8/NjwmnXix9X3ymX0RZRoGE/zDFf9pZ2h8W7aY+Akz4lm/ob7LIhjJOeqlLqIPoj9577704y/t61AMsfKOOzy3r/EPfh4nizTffPL761a/Go48+mo+RDjnkkLwd+PznPx/Icpa9PwGbZVm+wIqg65GJesoKcb7vvvvy8Rd8kVvig0G26Xclgzvcw7WW/hbxpB2kXaKvzRG97DJM9TbKE+SCMOBJHMqZ1N4gGyPV7iJjlHvCJL7nnXde0K4QT9pSDPlOu1cuzqV2SYYpL9QdBx10UL7whsUWyCnyyhgHOS39drjPjeJ+xRVX5H0K6nn6/cgL5QwGK6+8clDWGNPTJ6q3DYDljTfeGPTLKqWXeoF6h7ExY4VK7ohjI8cbxXCQZ/KplrFo8oc8pk9DOhhL0M4zboM3JwHyHllL7pt9pUxRjzL/Q5+LcSZ1APmNco1+JGmmTwfbcvGpt4wis/zEH+NalN6M1QmX/g/hpb4I5Y52mHYBwz2yyMJm3DFOY1xI348+HHMF2MOXMve5z31u0MVbxIPvqBfpSw93roOwqjGE06D0RrukF3kZbv+VMQRzPbQ9iRvs8QsZxDAuQA6RPfKb9KZxP8/IAXUHClDmFXhGjnfZZZd8ww7+wrtR/UvKKWMIxijUW/RDaC9IA/UDi13/9re/EeyQhu9oZ+rpXw4ZSIkDyir1+XDncUq86fdIHtHOU4/Q5yQPyC84MAfF3A/h9vuo8MC7WuNEOIzF+Z42YquttsoXcZPnhSDyW8b3jKNYANXo+QHCa0TdgT977LFHPq4m0swvpfqNZ40EJCABCTSHwKjmeKuvvUAARRBKxKREJ810PGebbbagg8KqXiYU6BRlWcbrqgwdXpScOKbDyepH7jvVoCxgcrBR8acTyK4eJvhRSDNRzSAS/1lRy8CPASDPxx9/fK4M534ww8QXEzMoFpjQY1cP/jKxmb4jXDqcTDgku+IVPw488MBc+cIiiL/85S+BjNBRRUYYqMKBVdl8h6KDQW5xQoUw2S2KAouJJNxhnnvuuXwX8sc+9rH8CC/sMMQpTUwxwcAEDZPWu+++ezAJR7i4Y1CFgoVJLvxikg7FBe8wrKLdbbfdgoUOTFJhh6GDykQMnX46qijRsMcwoOE6HAM7GBLvww8/PC8n5Bl+oLj/5S9/GfBi8pCJYNzxbjiGMsmiAwaUxe+wZ1ciu9GZVGISn4FdYoTbk08+OWBHunmuxaC4gT35zwIIZBHlHH4R1s477xws7OAZpgycuMeg2EbJRbyQIewwTBLtvffewUQFyhnqFRQSuOM9hjQRJvfJ8BMQTOIhZ5SVZN+sK5MwlB8mYZB18qA0nsQR9qVxIK8bXa5Lwyg+N1oWKf/11iH1yA47DZhQZIKBibJiWge7p4768Y9/3OeExUfITbKgLLCzimcmDJdZZhluKxp2gBL+73//+6A+pN6hbCP7lANklkkclDzUNbSV1HuEU9HTBr2AzyqrrJLXjSiI+FkVJuap+4gTEyUExaQBZbhYB2M/HEPbza7bxIGV+kwY8TMtTHzRDlAOCHcofykbrK5HaY6CgnzgFBD6GNQH1HfsYmAyhokZwkp+Ut/Dl/QyWZbskRfST3vDZDxxoQ6ZOHFicpIr1KivaRf6LN+7Qd7JX+JAXUW5Rpaov8nrato74kCeDEdmabeYrOVK20R9+V6U8p2+J510Un76SrJr9pUJTOSdvKXcIEvIFGxpN2mTiQP5zC4t6kaeazXtWG8xGc8JS8gSi9AoP+Q/i8DYqYNc0D9hkQFKCBbjIc/IdeJQTx8Ef+ppOygfxP3yyy+PYpmn7CBrg/W7UvwHu1LeUUoP5oZ3LLZjoQX3lQzljolx5Ks4sYnsIYfUqfS56RdiWAiZ3LF7lbKMIp1FkJRZ0ku9QZ+L/CFc0s1kJP0Rnms11IH0uZj4hy8KRuoGZAKFOmU1y94fG9EW0D5gWChUj0wQ53rKCvGkXmORAf1n6m38xLDQE/tkcId78mC4/S3aPfKIPhp1CPU09TF1InUb+UyfinDhSFkqjhmwx7Si3aW/Ql1H3pJn9Pko97BIbT2KEhSf1cgS/iEX5BvjXto22hfaOhQ+jA9IK0fis6CAhQU812IawR0/UAR86lOfCtoj4oOiKMkL+UlbTLwpg/QFKN+0GbXEOX3DmGmttdZKjxWvWZYFY9jiuK3omDxBxsg7ZDi9q3W8kb6nrqfdq2UsmvxAnokX8ynURSxATO/oT9IHog+Z7Jp9pS4j78hPxpIoAXmmDkDmWbhKH4x4MK5j0QT3RUOaqKORA/pOtfSNqf/Hjh2bnxDHruLkP/YsqGTMiT2LDqjXWYBEnYE7nhmjUK8is5RR4oQc0FagMMNv3CLLPHNfagiL+FM2kRvaEcLgW8o+PKgL6OPybbm5DuyrMYSFvyxMJl3pG+w7Mb3UE/QpuA6n/zpmzJj8hCXannjvH20SdQ0yiOGePjXlhbb1yiuvDPL8PeeBTBA27TCL3JM938CTZ+pe+vz0qeqZo8Ef2nPSedlll+Wn5iFvRflgro7FZ4Q7mGlE/3Iw/8u9oy1iDIhsU6aGM49Tzj/saL/pD1FPsOiFMRdtPf0+3mMIj3AJn+eiwY53uKklTixEof/NOKRSm1AMj3vKdSPnB5CzRtUd9AOYCyOeyTDnlO69SkACEpBAcwioQG8O157xlc4Fg6FiZ4SBCJ1WOoqYWmCwwjl9x4RXum+3KxMndMjLGSYSUNh+4hOfCCbkGhV3jhxj4DSYf0xWpk4pnVQGCIO5Z1cMu5SZfGRChAkbJq5QJqXJD74nX1FQMOjkuWiYNEb5mmVZvuOACbDie+6RByaOWVTBM5PqKFOZxOSZFbZMGuEXg0bsMHQ4v/KVr+Q/E8DAnfcMUgmPnQ1M5HCc+2CcGVwxEYx/hMtEHfcYeDG5yqCHFbDYYVDMwIaONwNvvmHihkEAO59wU63huGDkBYaVvoEZK7N5zyChHGfeDWaQO9KCybLJk7N0tEkb6WZiADcM/mHNrsXiRAwci0rtwcIq945V18S93DvssiwLJi+4p65gIoh7DDKLgp9JSQax2GGYPEQ+WbHMKRdMejGJxIKPlF/IALLLlW8wrP4mrZRPZAW7Zhp21LNLil1YyAiDeuKJgmLjjTfuCxr5LV2A0Yxy3RdgyU0zZJFyQh7VU4fUIzsoq5h8RnaYQEmLsEqSPuAxy7J8N1NSniCTTOwwgYJjlID4x2kXyCZ2lQwDfOoplDHIJXVllk0ug8VvWIHPrlQmlakPOD2h2e0cdQkTsnAhXtTFxTgxUcskXbJDsZuOqUt21V6pz1mkhDwwWYVyL8sGcqD/QP0/lL+UayZoUXyhaCl1z6QsfiV73KaJBdoR2g/qGXYtJTdMojIBx44G8oL6kLoChUdpm0fdwURY+pYrZRj7LKu9vatFZmmDqMfZtYpikrgUDSe30HZn2UDeRXeNuIcJdSsT0EwWs/ix6C/1OTLFhBn2yANsua/FtGO9RT1BGpkkpb/HCSulZYu0jhs3LmhbyTeekVHaaO4x9fRB6m07au13Ee+RNvRVUMzR/0r9OeJAGac/QD+HU0TIAwz1EMpG3FDX0n9DXskv6nzKYJZN/skSJomTrLKYAMUn39ViCOMHP/hB/nut5D3KplJ/iFdRKYL80CfDoPirRyaaUVZK41/6XEt/i/z63ve+F6Sd8sCu0qK/1NFpvIA9k/AoKLlPphXtLv1M6jzGCCyqY5IdeUtxSlf6DNQJ6bnSFf84lYB2Ze+99853dBfdZlkWKFyQCeyRZZQQ5DPPwzWN4E4+0N8hLqSRtJbGI8uyYBc2fQ7e0S6jBKl3IRV+1Wton4gzfcZGjDeID/lIPV/rWBQ/MIyh2FXNXAhtOnZFgz11YNGuWfeUL/pGtN/IOX26LOvfv6D8MvZJcUCBzAkK6Rk/kJV6+8bUB9QzjKuQKZ4Jg/EHP/VGW7jXXnsFfLJs8s+n0DbQv8Ud76n3WYyNAp+2hAUZlF3aBvriuMNQFqnHuS8a7Ovt+xX9G+ye9HVTepvdf6UPSt7QltDXzLLJcsq4jjkcFjOQ78gn8zGMh6i7WAhBXYod9VmlPKlmjoZygmKYviH+UcdEiYfIG+FSbkpe9XvEj0b0L/t5WsVDPWPxSt6zwYr5P37uhIW2jLkYe7GIgDKZvqPuoy2kLk12XOuNE/NOzG3Ck/oMP4cyWda4+QHCamTdgawzfmYeAb+pE1m4xb1GAhKQgASaR0AFevPY9ozPrORk4irLJndUU8JRQrArhwnqZFftlY5AcsuuhlJlU3rX6ivKSHZ5lzOsgKWj2Og4MvGAQhR/WU3JJDb3RUOHKssm58cDDzww6FFkfMekISvGGXTynEyWTZ784Ei2ZMegnh3q6ZkrkyIomOjwLrXUUvlvP2NfzjBpwYQZYfKeVd4cRct9MqzULa645/guOoZZluU/BcA9uxjojDPAhAdxSN/TIU/36ZplWeCWZ+KJoo/7oiFuDKSSHRMXHO+FPXYcSUt8GXylATn21RhkuBhH8qX0uyzL8t+Eikn/2M3MpMCk25rkusU1AAAQAElEQVT+s1I7xZt0s7uyOMGRPEWZx87zlB8MNBlglps4SN8MdkVRl96zGpa8Sc/pyuAx3ZMP5RZ4FPOfCXEmlUsnV0lfcQKasBkEJ7+L13LKpuL7RtyjuGISnngV/SO9DBaTHZNIlN30zLUZ5Rp/y5laZHEoWUR+6qlDiCf5xxVTj+ygFBlO+aScMxlNGgibQS4TzNStKGCo08jbLMt4XdEwGcBiGxwwuVkqB9gnw05n6jGembBh1w6TjDw32lDfsZuCupswqV/LhcFEz7hJij7e8Q27NGupBzhGjnoyy7L85BDkHz9LTZZl+c81lNoXn9lBRN6wSG/99dfP6//ie+6p34pKFuSI3Se8K5riKRQc44i8FusZ3GbZ5DaPCR6eMSyioK3nHkM93sj2Dj+rlVl2JpI39KvKtSH4xSkDHAHMfTMNi/Ngw2IRJqLLhcUEYbHdoWzRtpVzO5RdO9ZbHAnJoj7iziKOYv8Bu6Jhsra4iIN+Fbuiim6oM4p+UDcN1QdpVNtBvVAsD0P1u4rxHul76hQmEFO4nNhTTkmNu+LkLP0AFCxwTt+mK+MOjkzmmfJVT/8d5TtKePyiXSkXHnbFegvlQlHpxLcY3A1XJppRVohLtQbOQ7lFblFC0/6xOIqFkeW++eQnPxnUI7xjbMPx1dwn04p2l0WmKEqJA5PxlB3uyxnKEe1XuXfJDqULyh0UNNTfyb54pS4oLiDjWGLGQUU31dw3gjv9bMZf9O/HTeozMA9QKewsy4J+FAtKcUNaGWNw3y6mWO/VM96AB/2DlK5ax6IswsUP+jLFk3OwSwbFf+mYKL1r5JV2HqUWZZDFD+X8ZrxZHOOwcJF+WXLbjDJKvUjdShjcM/Yqx4O6qNgHYQEAp1pk2cD+PDtbs2yyPfUxYwD8T4a8bXTfL/k91JU0dnp6R7L/yhgQZnBlHIPyNPUR6BdQJ1EXcSIQbhrRZqLwZgEUp0/Q32O3M36XM7TpjLnKvUt2je5fJn+HulLvJDeMxanX0nO6wjDdV5rHSe+5UuZo51mwwnMytB8o11kcmexY/FA6vmlknIpjwRRmpSvtLmPQVPYYw9QyP9CMuoPxPJxYgE99Rf+hUjq0l4AEJCCBxhBQgd4Yjj3rC51FOhastqRjVDqIZtDFDmyO9RsOJDq9WTZ5EFNO2TQcv5rpluNkmcwuZ5gUYnKUTmMj44DihWNCYcREIDuwB/OfiQ7yaTA3dGBLlefJfZZl+ZG/aWIRe3YnFifBUVakzi07wxlM466SYTCLAiO9R4HLrsX0XHplN29xMF76nolUJuIYKLMbpKj8KHWbngfbIZDcMNjiKM30XM+VwRIrjokrnV4UbIP5h0wNxmSwb0vf0fEvThCVvmfCqFh2OQIVxVWpu2qeSReDRiZQmNAg3YN9x6CVwe1gboh/cbBWdMukd3pm0hp5T88jfWUCuFI8GdikSVQG1wxKi/FrRrku+l+8J08aLYv11iHErxmyg78RMeSFiTMW9uCQsodCm52ZtD8HHHBAMIjmXSVDfcjAmvdM8KeTJHguZ5ATFG7pHbu5KHfpuZFXBtgs+smyLJBDFOnlDG1WsR1gQF46gThUvFgEgCIAd/y0CLtnuK/VsFOUXYdMvn/gAx+IcvHGjp29tIkpHL5L9+Wu1If4V+5dlmXBaQZMwKX3F198cSAXPDe7vSOMSoY6hncsdEKBUe44Y05bYXJ9sDYTP+ox5HNaSEcdjMKRfCg1LI4qyhRKSerpWsJut3qLdotFJkkuqEMGS1eWZUE7S3uGOxYl0ZfivpKppg/SrLZjqH5XpTi3wr50UrYYB+QzPeMOk56L19JFLBydWnw/nHsUZ9X0oSZMmNC3sJNyUU3/pRqZaEZZGU76q3HL6WUoMFB6FRXDpd9S57Ega8899wwUi/w0SHLTinaXco8CmDqYtp7+c4pPrVf6DoxJaDPxt7QeTc/FhVHEg37DcMNsBHcU9yjwCZsxKPLGfSUzfvz4YCFEes+pMtWUj+R+JK/Uz/TPyoVZrEvKlVfGd40YiyLzhE8bgcK2dMEt71i0xq5p7ptlGKuwixb/OZJ6sHymv0x7yGJNTslL/bGRKKNZlgWLa6LMP/KkqDCjX5Rlk+eXSp0zd5HijdKQ8WnRTSv7fsV4ZFnWkelNck0dN5L9V8bexXYjyvxDtusdF3M6VNoQwsIpxiVlgqrKivqd8tTM/mWliDRjLF7s65SGS/vAaVbJnnqPtj49c60jTnxel6FvX8/8AIE3q+5gjpL+E/Uc4WgkIAEJSKC5BFSgN5dvV/vOwIIjuVA0cKwXu7lQKDN4Kg5kmEhiIo7f0KoWSHEQw4QSEwvVftsu7rIsy48RY6IFpW6j4sXgjh3vDO6+/e1v902+Jf/JF3ZBNkr5ir8Methlxj2mOAlO556j07DHFCcYeC5nUEbR4UvvOEacCaL0XMuVXUZ0uplQKq5kxS/iyEkGGJ5bZVjpjDwzWVZUzhAffhuJ1dksuuB5JA2TRShcUpjseEAhkp6HcyVdHP3MpEnRz+QHCrmhlFvJbS9dR7pcj7QsDlaHpHxupexkWRYcCclkMPFBcc7kBUc9VlN/s4AIZQDf0n6hxOR+MMPuAxYe4IY6inqb+4GmPhsU4dSNhPHFL34xWGhUzlB3X3fddX2BUQeUU9D2OShzQx1LeLxixxJ1Pfe1GOLLDgy+ZYcDyvhy8caORTvFNo/8oK7l21oMigyOhk/fUi/TthKnVrZ3TEKlSTnkhbaOnxgopj3LsmCyEIVgin+jr//+97+D41DxlyMzyYNKhvYOdxh22KJ44L4W0071FuUjlRcmaKsp85QJFhCmtLNLmYnS9FzLdaTbjlri2InfDLfuK6aR8khdgR19IXb9cl9qmDhm4r7UvhHPI11WhhNnFtYwXuQb6rDUDvJczqAsZGcfR5hn2fvKL+r5kW532UlG3Us8mbwuKuewG66hTmSxOd9RH8CjUl3Kcei4S4axU7qv5too7igDUr1F+oeavEdpWTxtgXyjj1VNnDvNTSPGoiyKSvMo9EORM3aCM05MPKj3aefTczOuLJRIGyAoe4OFwTiS/iXHoLNAMbklr0e6jKaw67myaIG6O/lBfd7Kvl+KR7OuI5Hedum/VmJYb5vJQlsWB+B/NeNG3FUyrexftmIszmIgNl4kHqXzRK2IU4pLltU3P1Bf3TE5FrT19c6TTvbJvxKQgAQkUA8BFej10Ovhb9l9tOWWWwY7kLim3zhlZweDJyYVGfAlRAyU+f3VWia0GfCjLE5+ddqVo/1Yud3MeNM5Q3HB5ApHcqPAIC8aFWaWZcFq2uQfEz5pBy15WsuEOMciJ/9Y5Z78S3aNuKLwYHc7R2nxu0eN8LPRfqBQRgGCwoadm0xCNDqMavzjeHomZHBLeWtkfjDpw2riNddcM1jJ2647T0h7O5lml+vStDZTFrOsch1SGo/i80jKDgowdpunicssywJlV5a9P2FfjFvxnkl1lCZFu6HumRAonuzBwqQ0KT3Ut8N5zw5u3KPkY4cEclWNof4s1tP4MZRBqZomkFD05krcoT6q8L7YtrB7jXanmnjjBkXEmDFjKvg8tDUT/h/72Mf6HKJAJ/xinPpeVnFT5FhPe0dbxnHVKUhOl2EnD4sL/vrXv/btkk/vm3UtyjuKMJhXa/hpn0bGq1X1FpNZw92lzAQhbW1KPwtLkav03KgredHMPmGj4tmt/swzzzzB7mTSR/4mJRTPRUM/HYMdC5iKiifsGm2aWVaGE1fGkKldQvlaa7+3WA9VG3697S6LuVL/GL/qaeOIMyxoX7jn5BPKbrUm/XwE31ZjCKte7sQtKUSrCTO5od5LYwz6OdR96V23X+lLDWcsOnHixOCnARIXlJso9xiHU68n+2Zf6c+R34RTa93UijJKfBttWt33a3R6hvKvGeltl/7rUGkvvq+2zWSukp80St+yCCrd13Jtt/5ls8fiLMQqjoc5OY16czB2zY5TMex65geaUZaKcWvreyMnAQlIoMsIqEDvsgwdieQwmGJXNbuKxo4dGygmSyc/WHmJwmzppZfuixK/IcoxfH0WPXTDinQU6Y1OMpPnZ5xxRnCsH4NtjtJnIoaj1DiGrpHhcfQvSoXkJxMg3Jd2DOnQYj+UYYFFcTKluNJ7qG+Heg8DeDCJyS4ifq+QXdEM3ob6diTeU4aYmEChjOID2WCCld99YqfuSMShNAzCZTKw1L6eZwY/RxxxRJDXhxxySPz0pz8NJn+Kv5VXj//d+u1IluuRlMVKdUi5fGyV7FAmmagkTrDh2FgmUHgezLBILL2nDsSk50pXFLzUUek9ilUmYdJzo64o5vELxfZwlfx8NxxTy8R6Jf+LbQvyQLmo5LYZ9tTN+Fs0xThhX00+4446sBHtXZZleZ+r9KQflDqc6sIuDiaeCLOZpijvTO43M6xyflM2R6oNrVRvsUMolSfiw08glItr0S7LskinXGDPzuRGlnnKyEj1CYm/pjwBdpYX+5v8ZiZ5U+qa07WoU7BnoS3KZO4baZDNkSor1cabssNJR9W6r+SuWA9RF2MquU329ba71LUwTf7Ve2VBaRr/0M6lsVW9/pb7vhHciSMn2iT/iW81PPgZFo7rT98xNkv33XqtdSzKnApjJzYnFNmgoKP9YEPCcBdvFf2p9p7xWrVuK7lrRRmtFJd67Kmni5sFqqlrCK9RfT/8GknTjPRmWXv0X4fiSH023DYTXo3se1NXt0P/kvqeugg5buY8DgsO6WunvBmsXRmpOKW4pGut8wPIRi/VHYlXN1xNgwQkIIFSAirQS4n4PCQBOog///nPc3f8zmuxw5NbvvcHhRxKdnZVvGcVPNMpSs+9cuV42UMPPbRhyaVzz24zdpujKKZTy4IFfhsx7WZpWGDvecTkf1LKo0jnmOL3XvW7JGVNP8syD+zyzLL3d3biZxlnw7JiIp9jmDkCkYlJBu78fhwK6mF51ETHTBptuOGGwVFm5B+TceRhMyZOa00GeVEpf6vxk4kFjhtkBTZKc34TjAlkJpSz7P08r8avXnIz0uV6pGWxmjqk1bLDzrLrr7++T+yYsERZSd70WQ5xw2Q4k+JDOIssy/r9BAflLsuaVz5oe1HYDRWvet6zwy19T3jD4Za+K3dlNwaTJuXejYQduw/K7TRsRXtHG59O+uFo42L6WSjGTr+zzjor7UYvvm7K/YMPPtgUfyt52o71FhOdTHhWinPRnvxLz5R5+kLpudYr5Wyk+4S1xrUXvuOnK/hZq7Fjx+bJPeecc4KTGvKHwh+O7kYRhlJsq622KrxpzO1Il5VqY03bQFuPe3aoNqJuH6l2l7EF8caQBsoe940w9BuoSxrhVzk/msEdZXo1+Ue9h0nxQkmc7rvt2oixKP1lxk/8jE3p7u8TTjghXzh/7bXXNhVdcdEP4+l6AxupMlpvPKv5vhV9v2ri1Sw3jUovdUA79V9LiOCQcAAAEABJREFUedXaZlJWUJQm/3hO9/VeaRNGun9J2zaS8zj0hYvzYOVOMBvpOJXmWyPmB/CzUWUJvzQSGISAryQggSYQUIHeBKjd7iUKPzoRpBNFJasGuS9nUK7vtttufa/YZVucfOh7McgNnSgUcYM46alXTNagjGe3GUoFJk3XXXfdXBkzUiAYzCeldOlujmonU4pxRYbqzWMm8VlAwDHo/KwAu7CKux2K4bXqnuOTP/rRj8bvf//72H///fMd2UyStCo+lcIt5m8lN5XsGTTuuOOOwS5eyi6/lciJFJXcaz+ZwEiX61bLYjkZa7XsED7lkondz3/+85MzZtJf6tsbbrhh0l3l/8WFYvwEQi2KanYtFicQKodW+xuONq/96+F9yYr74oTS8L7u75o+Rzp6tv+bkXlCgU5d3S7tHammXr399tvjxBNPDMoTdhjkmFM+WLTEc7PN1VdfHY3cRd0/vv2f2qneGjduXCATKYa1KBjmm2++QKaSH7VcR7rtqCWOvfjNsssuG+eee25+Ag+nE3A8Nz97RfnEcM/PL9CXv/TSS4M6ppGcWl1WBksLPyeSFiShGEBpMZj7Su9a3e6yw7i4aKxSPKu1Z8dvrSyqCaMR3OmjcNxuCq/WBRAsIE5+dNO1kWPRLMti7bXXDhjvvffeQd80seLEos9+9rMxVN80ua/lykKg9B19Ddqa9FzttdVltNp4DuWOdrp4YlSr5jqGimej3jc7ve3Sfy3yamSbWe94pZX9S/onrZ7HYU4QpXrKn1bHifBrnR9odllKjLxKoLsImBoJtCcBFejtmS9tHStWQg5nEPXxj388kiKTyXQ6IUMlEOUDSgjc0fEoDhqx63SDUhGlDEfqDjctrEb/3ve+l3+GkodJuvyhyX+YAEz5ztG2HOdEkORP8XeLOMKXXRS8G8wgRyn9+FWckBnsu3LvkCuOtCNsJojo+LebzDApttlmmwWTHiwsYTI1y5q327Qcp8HsKHPsDsANEx4MXrgfrmHX1THHHJN/tu222wZKwfzBP4MSGMly3SpZrFSHJDCtlh12CJ5++unx4x//OH72s5/1HbVMW7T77rvHYBPllGnqnpQWfjYi3Ve6shusuHOLCaVKbuux5+SH9D0/pVJN/Yx70svRfcU4Yj+YKYb1n//8J+o5ppeFVSgYCY+2B2UUV56HMrfeemuwiGood4O9LypEyRsUPq1u78iLYh8KBe5XvvKVfIKddi+lh7J28MEHDyqzyW0t12I+c/oNeV2NP8SdslWtDBb9bLd6izayqPSEA2W6GOco88DuxGQNRxRS6bmW60i2HbXEr5e/+eQnPxm33HJLrLjiivGBD3wg0s8rUZfQT/rtb38bF198cTBZ3khOrSor1aaBMWHanU/7igxX8y31P3UHV9y3ot2lzBI2hrhwKhv3tRrqERab8j2nEXAqAffVGE4cYTxZjVvcNIJ7lmWxxBJL4F1uWChXbCtzyzJ/imM+4jF+/PgyrjrbqlFj0RdffDHYbZlosECOnxO677774nOf+1yyDjYkHHbYYVFNu9P30TBuinlE37FaWaeNo69CUK0oo4TbaNPqvl+j0zOUf81ILzJBHzCF3ar+awq/eK23zSyOV/D35ptvrqtc0i60qn/ZirE4bXqxHlt11VXB2GdaEae+wCfd1DM/0IyyNClK/peABNqZgHHrWgIq0Ls2a5uXMDq8WTZZ8YcycKidR0yS0HkgRnQGp556am4HNcVOFKvU8WPQDzroJQNsBsJPP/10pCPRq40+XE499dRgcpxvFllkkRHbef7vf/87mAAh3I022qhv11SWZfGZz3wG69ywm6SaFfGs0ic9fMQOnDSBxPNwDcqSyy67LP8Mfxh45A9t9OeKK66ItCKZSYniyv52iCb5waQNcVljjTWilvihgC8qrYoTjfirKU+AcjCS5bpVslipDoFKq2WHiUEWJrEoid85o6064IADIh2vzKQ2x2YS13KGRUQsLErvcI8COj2Xu1LeKHe8Y0J55ZVX5rbhZqmlluprJ6iDTj755CHDYDLj2GOPzRWww1HwFSfWaQv++Mc/DhlWJQf0G4r+/fKXvwwmpSq5T/Zw32uvvYKJ22Q33CvpZ8cV39FOpzYuy1rb3nHCCko34lU0TLCjmOZncpLMspsRuS66a9Q98o7M4h+T+PzMAfUYz4MZJqFuuummSCfYDOa29F271VtzzDFHLL/88n3RvO666/KFDH0WZW5glI5vzLIsOD2ojLOqrfCvmW1H1RHRYVkC1EUozTkVicVEKEipW1COschqrbXWCo60LftxHZatKivVRpnyz2lMyT0/C8YC2PRc6crYgp9lQu5xQz000u0uu1BRlhA+8aDPS57yXIvh55L4ObT0LYvW2HGcnitd6TugPGUBciU3pfaN4k5fhXYR/2HACQrcD2Y4RYY5A9wst9xykRbH8dwtplFj0e9+97tR7nh2fhqPn4M46KCD+pBRJphP6LNo4A0L9NMuUHZcI5tDyToKUk4eTH21VpTRBiLo8yrLWtv364vICN1kWePT2y7913II620zGa8g68lvxoCMt9LzcK+t6l+2aizOOII5Ajgxt8nmK+4xrYoTYWMYR9UzP5BljS9LxEsjAQlIoFkE9LcyARXoldn4pgKBD3/4w5EUlEx4DDVwQ+madhozSVCNMpyJ3xQ8O7/SAC7ZdfKVXXRXXXVVrLLKKsNOBh1MjsFPH7LKO90XryjYhxrkFt0Pdc8EyQUXXJA747caUTLlD+/9+dSnPtW3WxMrjo5lEM19OUPc0oQLCu+vfe1r5ZxVbYccEkc+QNaQOe6LhjCTm6L9SN1ff/31fUGVrsJOL4gjE6vpeaSuhPvnP/85D27OOeeML3/5y/n9cP+gMGOHRPquknwOJhvp2166jnS5boUsUvYGq0NaKTvI4957750vEGKneTq9AkU6J0UkWTzwwAODuiY9F68sOEFJkuzYdfiPf/wjPZa9UlZSW8fpFEwalHVYpyUKhoUXXrjPF9KR6t8+y8IN9QEKDX7/jt3NhVdD3n7sYx+LYjrYZcnpFkN+WMEBR5Rm2eQFe+xU/Na3vhXISgXnucJ/6623Duox+g6V3A1lT5xRiOJuvfXWi6WXXprb3LS6vSPvyKM8MiV/NthggyjKbMnrhj2yCKzIl8UNHEldKV4EfOGFF8Yuu+wS/P5lLX26dqu3SAPlIy1YQMHAcfaktZJhxyrHhPIe5eknPvEJbms2I9121BrRVKfyPf0f2gPuiwbZqUZxWPxmiPuWvqaeWmeddYJxD3LSDEV5pQS2oqxUiks5e8oOC3HTOxSr22233aB1O8pJ3Gy//fZ9R1m3ot1daKGFgp+LSnE/88wzI7XjyW44VxaV09dI33CaBwpIykmyK72yW3LjjTfOFy8PRxHdKO4TJkyI1VdfvS9aLJQbai6AupFyT3258847B+nu82CYN6QjfVJpzMd7Fq2UGw/yrhmG/iFpxO9K8aKeS25wV84QZ3iVe5dlWVAGON2i3PtG2tF3ZAFm8pNFeqecckqQhmRXvNKX3nXXXfP3aXFZK8poMU6NvG9136+RaanGr2aktx36r+XS3og2kzYtyyaPV+ibsei6UlkpF4eiHXUc/QbqS+xHqn9Jv4WxKWFiRmoeh8UGaczMGIEFBISPaVWcCJs6rd75AfxpRlnCX/rMLNYYrL+AO40EJCCBHiLQ1KSqQG8q3u70fPz48UEnkdSxAn6oo/dYHU3nh07gl770pb6dcHxfyaTj4Fjhzkr3Su46zZ4jPnfaaaf8NxHZWV9v/DlSrXTSgoE3Owe54j8KWQz3tRp24l100UX5bkx2ZbI7s+gXz9iTx9j/4Q9/iKR84LnUMNmUlGmstG/kTmVkDc6lYbKan0meZF8vk+RPLVcGCXfccUe/TxlkEb9i3Om493NU4wN+s6ii0ufkB5OAvP/Od74TxVXU2NVqkIPSNLADi1XoyU/ygfilZ68RI1WuYT1SsjhUHUJcimYkZYcFP+zi5GSQouyj9EGhjjKWuDHJz0C6VKZ5h2HhyWqrrcZtMHnKZGMlt8j8r371q0ApzE8moBjOsskTL3jA+1/84hfBsfAoXvit3FSn8344homIonKfiR0U00cffXS+aKDoF+3JDjvsEMSHnX7seCq+H+q+NCwmlFEGlIs7bGCf/GSihvDTM1eOPi72AdLiM+pJGOEGwz2yPHHixLjtttviBz/4QTABxbtyZqh65/e//30wocOCPyaEkYXkT6vbO+oHdkSk+BSvWZb1LWBgZ2LpT6OghKLvkWVZwLWSP0U/y91zEhE/0ZFlk2WW9mWrrbYKWJGPxW+Y2OFnEdZff/1AATZhwoTi65ruyeuRaEOHqrdWWWWVgENKBMdMlspweseV/jL9ZuRqjz326Pcb6ryv1yAbpeFT9hrdJxxuPIuLLTh2mlMIin5QfqkPi6djIDfUEUV3nXIPc35WiF3m4yeNmWqLd2O+GqmyMtzYrr322lFUAlK3U98jw9TPyT9kgMU5vPvCF74QpfVHI9vdFOZg19K6j34B4zr6tqXfIdcsTqWd5x1ygVKX+6JhkVax70F6aaPTaRXJLVzggwKfU0dYLJbeVXttBHcY7LPPPjF27Ng82L///e9Buc4fyvxhQRrlm1df/epXg3aa+1oNZSqdgMKYj/ELrIv+sdicBVvJnj4Z/ItumnlPvOinlIZR7ViUPggnWJR+zzO7XdMJO4ssski/E8NIb6P6jii/2XmZZf3beU7VKG1n7r///nxuiFNm+KbY/xrpMgqjZphW9/2akabB/GxGeqm/HnjggbLBZtng/ddx48b19Zk40eLee+/t8we5py7us6jjptY2kzaKfnUKmjEgJ0YRt2SXrjCgf5CeWVxZWj+1Q/9yJMbiLChiDE4dzRia+iJxKXcdiTilcBmjErd65weaUZY4jYS2kOPuOdGHsUWKt1cJSEACEmgOgeYr0JsTb31tIYEsywIlAsduEw0mTMsNEnlHY06ng3u+oTPI/WCGY23TpAHuSydLBvu2me+IV3FVJmExscN1KEOnGGUFkwYoL9jNhqKh9Luh/OP4PY5US98xacGOMxQGTCbvt99+QWcKhUua2GCQwYCWRQnHH398cIQ83xcHtww6+B077EsNkwCsBmVS/MQTTwx21JS64Rl7jndDiU4nmEkS8p93RcOEAMfrEibKWhQ1WTZ5cF50V7wn7OJz6T08UTQle1btoqQlfCas2Smx4447BitAkxuYMMFC57iSsp8JXDr26Zt6rnRw0/fwId8YWBFHJsvYuUknvZi/HA3JAJErcU3fD/eK/MGavCz9lkk/Jv/IDyZ8mRgpdcMzCpJyg0DeJYPChh0L6fmss86KLbbYIpA9FtLgN8obdsMm+eOYP47fR4bZxZjCYKIw+TPYdSjZSN8W3eE3Jr0rvVaTVr4hrkV/imHwvmjIA/IdO74jDO4xjSzjgFIAABAASURBVCzX+DeUaZQspjwkPOSnnjqkkbJDPUrZJV6YYh7xXDTs9qIOWmmllcqevMCk9k9+8pO+T5Bp6sE+i8INk5onnXRS325l3HLEKvldcJbfsliG+ph0Uw+kydD85aQ/lAsmf5EbZIU40NaW82uS8yH/f/3rX4/UZuMYRijKiTNKco6lZYDPiSBMvrJLnToKt8M1pWHBC0UJO6oIl/zgqD4W4lEPJ/9pG9mVS9vBN9gTP9Ke2jPsUGyzc5djdIk3hvsll1wy2Jn361//esjj25m4+ulPfxrEBz+Lhv4MrGnL2EHCxETxPfeNbu+IR7Uyy04UFNJ8Q1yKBruknKReJz/Te9p+dv7BDzsUVihTUG7wPFwDg1IFDkfLMunOKUXkC1fykEUUuKWsZdnA9p54DxV+O9Zb1IGUFWSZ+NMnQ3bKpYfFCyw0pK9Cm19s6/m2nEEmBuuDNLPtGKw9KxfXweyYWE6yiDKRPhllnP4P9STHdfJMmUz+sFOffguTpfRTkj1X6kHqEe6HY2iDqVOH800tbqnfrrjiinwnJguHqZ8oDxxdzYKLZOgTnX766XH55ZfHUD+HleIxlEzgrlFlBb/gBTfuMdXIRe4Gx5MM+YSZdNvvP/VCad1OfxfZYPE07RL1B/ec0ALHcvUH/jSq3e0XwUEeSus++rCUZ8YT5CPyydiLNpb6Icsm13nYb7LJJkG/+OCDD+7Lc/oBuKPNScFeeeWVgXIURTGyg0FxDR+U55QX6trkvtorvBrBnXaReoz6jLBpb+jnc1801IWEx2I66knSXVyQVnRLXwdGRbty94xzWUSQ3tG+sCubsQbtN3wZ76HIhRvuqEeJI+WtdDxVTj75ptQU5br0Hc+NHIuyI5aFT+V4oLwmDcgLbXpxN3+j+46lsk46GV9TnyfZRKbmn3/+QGaRidL+LO8bXUarlRXiWzTV1J9F96X38GjWXEdpWMXnbklvrf1XWNAeME7hnvLMgkXKJHnKXCMK63LlhfaLdozvKplGtJnIOXVdGq+QZyz6om5CYU7caB/YkEI9XpyTufjii/NTPegb0Fckns3uXxJGqaEtasQ8TpZl/RYxM+6gLSgNDybUGccdd1wwDmceDI5Fd42KU/ITmUn31P3EIT0Xr42cH8DfRtYdyBF1KjKG37R9KNS510hAAhKQQPMIqEAfgq2vyxNg0M6kP0fIMek9ceLE+NGPfhRMftAZYXB38sknB5NFdBrpULKDjs5geR/ft2VCDWUwNqxCZMKA+1Ya0kR6GZgX48GOKwbqKMfPPvvsKBomN+g0MzFIZ5CJlNR5ZDdOKQs690z8J/85lofBaHrmmmVZMFhm4MozBjcsMqDDC3PiySQkygTe0zEkbCZiXn/99ZhuuumwznefMZnAAxOadFyZzGMC5PHHHw/ygXxD2clE0F//+tfYcsstK54gkGVZEA6TnUzu0JnDzzShRNpRoLC6FDfwYbK9dCKF+F4+aTKR9BM3DIpVFO/clzOklbxI7wiLtI0fPz7WXXfdfBIKZQF5ldwwOcHOdxQRTNRhT5xRrHCP4VgkJiO4r9cwmVM8phGFIxNpxBGFP5ODHO+//vrr9wXFxDIKPDrFDBz7XgzzBlkjPPKSckj5QtGEYp5JPyb/9t133+DY5tL8ICjkn3xERnlGXthVQ17xnAxyzoR30Q+OgebIS8oBCxXIB3a2pp2R+MXuGybDGBhnWZYfw8wAM/nLZHRxoJnsyWdkKT0jM0l5lOy4Em92c3CPQZ6RRe5LTbVp5Tt27hflAybldhfhJ8cXM+DnO+JTPMYuyxpXrvF/KNMoWWSlPeWM8MhHynutdUijZIe4lB6fjiyVqz9QyjBZQX1HvIkD35eaiZPatySvvEPGyU/uSw11CRMhtI28o7zxExW0g5QXdhmwc+tzn/tccMQlbQr1N26LBqUmTIt21A/IbtGu2nvabCYpikp0vmXwzYQWZQfZpe6mXvj2t79dsa7nu8EMYdEOJQa4RbGIEg1lCPURdRE7+2k7eZ8MdQV19qabbpqsgjqKOrDY7vGSSTPijeGedpVyzSQ27wczhM1CAZQAtEW0d9T/9GPIb+LITpkNN9ywrDdZ1pj2Lnlercwm9yy+oD0j7cmOeoX2DFYoDliIkN5xhVHRPXYoNaiXuR+uoZ5ngciWW2454FPKFGFxxR19CSY7uS91TLyH6vvwTTvWW8QLeWfSjwUvPJM3tOPsXqfup+5BxlhEQv+LHYgsFMFtqUEGh9MHybLGtB3UTcPtd5XGfbBnfvqHeg+FD+6YwGRBBf0ffhKIeoddpMV+Dm6pm5DbD3zgA3zWZ0rbXtp9+gN9Dt67gX+xrqYfQZ373ut+FyZLWciXLOkXIZvpeThX0kW9lb4hDZQH+p3IRzJM+DPOYbEwDFAulqZjuDJBmI0qK8gF4xq44S9mqP44zKrtb8EIzvw0GH4nk9ol6g/sBuuf8r5R7S5+JTPYlXoMJVoq87hl/Et7wZgV2aXPgB39eOxwg0HRyDiIvkdR8cmCNdjiN+6SefbZZwPZwSAb9B3oP5YqKZP7aq6N4k49Rr1B/jEXgBwj29R5lD3qQJTmhx56aL7wnnqS+rJcHHFfzTiDb+HJYiQUKzxj+LkY+g8srmOBIopyOPMuGWSTtj4p/bEnrvQRucfUM95o1FiUeGDoP7IgizkVnjHUnfTP2CVL/VFU/PG+0X1H5JGxIX0K/C+aJJvUb8wxULciW0U36b6RZZR6iTJAfuI/fWUWFHBfaugzU+8me+JIfzw9pyt+0vbiF3Zcaau5L5osa2zfr+h3pXvi1k3ppY4Ybv8VNvQPWEzFPYa6lfqEsRt5ioxmWRbUJZyIQR7ijrE3dQ/1J8/lTKPaTOSfuQDqxBQOdRM/tUG7QN3FGGf//fcP2ovkBnv6SYypmc9L9qSPuKe2Bna19i+Tn4NdYckYl3Kf3NUyj0Nfl1OWEgfmJ2HDOJQ6mLad+aDPfOYzwRwY84fk2bhx41KwfddGxQkPGeeSP9xjmMOhP8l90TRjfiDLGld3MEalz1iMM7JSfPZeAhKQgAQaT0AFep1Mmdyhsa9kUFjWGUQ9nzf1W1YeM0nO5A7HcKPIYgKbCXIGkXSS2BFNJ4n3xc7YYBFjMM5AHL+KCsfBvmnWOwaiKPZIE5N9TOoUw2IgS8eWjh/KgqLBPRP0KKSL39HpYYCf/GGlKZ3h2WabLZj4TvYMmFi5yu8nwg8mvIMtk+34TweVDjmdUiYLmKxgkpbO5uGHHx50xtmNjpIAZQDxzLLJOyH4lgltJsZwyw5o8gxFJ4MUvkVpjh0DU/wl/MFMlmXBjjb8ZGCDgprdiAwM2HFPpxxFFYNuOszELfnHakpWEFOWUCaT/vQORTZ8mChgIjrZpytMmcxiApZ4Y48yFsUVq15JJ+lFntipgCzONNNMwc56/CYP4MzkS/GUAZjDg3fFPMD/4RryhPwlLkx8ZVmW75LkiGgGE/hPvODFhCpsyAcUD8hYPR1j5JfBCwMvyimDMyaeSD9MYYRSm/CL6XrggQdiq622CuLB7pjiOzgyICS+uEvvWGELTybW8A/DAIkj+5mMgDETi5QN/OX9xEkKShRsKPcYVHKkNQOr5Cd1CAo3Brj4jazgjklq5Cy5Q2YIn7oDd5jByhYTPiic8I80VJtW/EUuqBvSAJ04sGOOtH3xi18M/MNf4skOmEr8UIrybaPKNX4NZRoli5Qp5Jny3og6hLyDba2yQ15SVpEjdhwkDsgS9QeygP/kC3UNA3sm73HHzja+5x3PyVDfEC/a+mRHnlPPIbf4l+zTtdg2MqHDIifknnqKRWVM6PEddTKTium74hXZWmONNYpWwcAf1v0sh/FA3Ypyn7JImaTspc+pNw855JB8op6FPVk2uZ1I74d7hQGTLii0yU/qW/wgTMJmdyZ1wNixY4P2kL4EO6RhwoKaomKB7yj7KCOII3HFDpP8I02pfsF+KEN+MHFC3JiYoi7BjjoaOSAswhzMnyyrvb3DX2SNsKqRWdxjaO+RC9pPJn1gRztLXUq7gh39A+ob2PBNMrSJLOpLz+lK+57uh3ulDmAXBEp45Ibn5AfxKW3f0juulAHKJGUT7thhqMfL9X3atd4izvRxUH5StlkYSH3BAhnKPKeuINdMDrJ4bYklluCTfgb5RQ6QweH2QeppO1hkwaIR6obh9rv6JaCKB/oKKC8oc8gJhnYUBS31EnGgr8LR1SgyKB/YEy/cEgQMkRkWa1EPY4ehH0AZJgzaXvpu1Om0vezixE0yTMDTRyC/CAM5JB781i/fJXeETV+J04vwM9lXc6W/xulHLBpA+U+5Heo7JvdpL2hzcFuPTNRbVuijw5L2CSUe8UmGPjP9HPKBn8pIzOCIXaXyXOxvJb+4soCMsQtjGMYyiRV1GvUV5aFc/5Rvi4Y2h3aEMSkca2l3i/4NdU+Zp3/OIiQWEZFuviH+pAO5RpHL2IcyihKFhazUz/TxkRHcJ5NlWWy++eb54mXqTerP9A75p36lnqWupKykdxWuQ1o3ijtliVPjqOPoK1Gf0K6TPsoaCy3pu9DngllpxChb1fa9i99SNlGMokxGVhgzseCYcFL7TV7QPrIwATllrMPYBbaUffrnjRpvEDfq+3rGopQ3/KHOQLmGPDBGoG6iHWHhH+0E5Zt2m/KRZf37as3oO9KXoF2DH+Nq+hLEE3vqTupfFPrEEftKpt4ySp5Rb1O+yMdiOMgassh73KX6iHYB+UxuGU8iE9RVtCfYs5CT8ezOO+/MY59BmUk/P/mZXmRZfX2/5M9QV9JB2N2SXspjrf1XWGVZFuT7Xnvt1ffzEYwHmPthjoM2lD4NdQ/KW75JhvkPxiHFfE/vuFKmqFsZ01I/ZFntczTIIYvxqHeo+yknhEG5oczSpjFfSD1J20G9zimXtBHUa9RluE+GehM5qLV/mfyp9ko9Tvmhr0bcMYzb6JOkcRZ9AMZw1L28p5wwj8M3KRzmDamn6M+xYOK5557LT1+hTPId9T6yzRwY3Gnn0rel13rjRFlnvot4M1eT/KcfybicPKPvRZmjDWnW/ECWNabuoK1BJhhnkBbqKsZN3GskIAEJdCsB2krGW4yDKhn6ec1Mvwr0OunSEDOhXckwCKoziLb/nAErg1A6W6zYY+Unu1tZLUtHliMmq00EK8FR2NLJ3n///WM431YbxnDc0dllwo80ManbCEMHn514KR5MYjBARnlQzn8mXOkk0dFO3zDIZjDAN8SNSQQmGelkJzf4y7esvEVRgDIgy/oPtHHL5A6KVDrw5F+KA36zKp9OK51j3FZriAe7DvieRQj4id+EwcRRuU4yChMmG9mhiftSg0IsyVS5eDDgYCcTaeZb/GEwguI1uScdyCp+ER+UfqzgRBmWvuPbUsO70jxIfg7nChc6uUwYsaiCK4tMmBRJ/jDw47cCyTcm4VGs8116X+s18WECJKXQmiEiAAAQAElEQVSvHKOi/wxyGADiLn1TvBJ/GOOu+B2TEwy04IxBDhhUEYfkjsUMpI/3KDH5Bhlg4jDJTDEs5JwFHch1csf3RTfpnkEc7jCDlS1YsLsD/0hDtWnFX8occUphpivpQXGIf/hLeirFE34M5hOTRpbr5GelKzLVKFlsZB2CHNQqO+QlZTXlRfFKviAL5B35Ql2DkiC5YQDP97wrMqMNY8I7uSteWeyFf0X3xXvaxjTpSPjIC78TSZkhnVk2sD5O31MPwIGyR/8CJRCTP7BObmq5UgYpi5RJ4pTSAzcWOFEf1uJvuW8Ii8lc0kF9S1iESdhMqmdZFkzKMLnCZFK5dqHoL3EjjsQVvzDJP9JEeEX3Q93DmPwpygF+EwZhDfV9ek9ZGm57x7fIGjJHmKSl1JC2JLO4x9AeMBHERA99Ln42AaU5E2vUm5wegII2ywbKVpZlQdpIL+7ZtcsgBAUCftdqsiwLJtEJm35DSgf1W2n7VgyDskP6it+kb7nCpbTdhXU71lspXbTlKO/Im5QuWMOGslBJRuvtg9TadsCTupB6BualBhkcrN+V0l3NNcsmywn1AWww9AlRFCUu1AfsGGdhCP21Un/pNyAzxKs0rrSz1K20vfSXOR0Bu1J3PNNHoCxRBpHDSu05u9I5rhg/S+My1DPyz04nFLnU/eyWRBYwhIfSKRl+KoIdyIx9kBXY1CsT5G2tZYX0wrISP+JHPrBQB9awgCN2vINxqSn2t3BfNMSVMQxcYMW3hM3OVxRbRbdD3dfT7g7ld+n7LMuCtpy+I/Uv8Sb+pCPJNQoUxpEoHqsZ01KHUG8iP/iHgSlyQT2bZQPr9tJ4VfvcKO6UX5QTxBH5TnGmHqTNGSzdyBr8+tdB7wZ+YOCALOKuNF2w4sQ1ZIUxE4sn9t5770jtN/0l2kuUVLT3xe8p+/TPU74RVjLk4XDHG8lvWNQ6Fk1+cJwxCzBOOeWUoNzAAEUUk4K0+YOVC9JJHQvPRvYdiRvjafICv2FFPUwdTv+nXH3NN+VMrWWUPKPepv4m/FKDPe9xl+oj4ljqDjvqKtoT4odSE8al7nimn5/8xG3RUH5IO33aJEf0dWFSaa6j+P1Q96SDsEkXcSk12PMed52QXuJKeayl/5pYwZxFOvRj4UE/kfJGuaMtwm/qS96VGuyL+Z78TFf8rrXNTH6kK+MZ6h3qQOSNuFBuKLv013CH0pi6j3qd+GM3mKG+q6V/OZifld7RrlGPEHcMMl46zqL8UPfyPs3jlPpHvUB/7uSTTw7Gv9StsMDQv6KtY0NH6XflnuuJE3GlL0tcCbvUUJYY71OW6BMn+cJdM+YHkLV66w7kiL4FcUSWkLly3LSTgAQk0C0E+Ek0FuXSv61kaCubmV4V6M2kq9/DJsCODSYeONpulVVWGfb3bfWBkZGABCQgAQnUSIAJFRZxMQnMAJ5dl6y2rNE7P5NAToBJRgYX7LxgRxgn1OQv/CMBCTSEABO1TBrzUxTssMJTJmYpdxjsmDxNholbdr9dfvnl+UkjrLDnG40EJNCBBFocZfuOLc4Ag5eABCQgAQlIQAIS6DoCKtC7Lks7N0Gs/mVVKcfvsquB42k6NzWdH3NTIAEJSEACrSfAUYDsVOR4SdvF1udHN8SAnTgcH8+xiuV29nVDGk2DBFpBgCO9+RkXjgDl2O3hxIHd1hw7z66t4XynWwlIQAKlBGrtO5b647MEJCABCUhAAhKQgAR6nYAK9F6XgDZJP0e385veHGnD8UscQdYmUTManUnAWEtAAhLoeAIccYcyhuNf2bXY8QkyAS0nwFHSLMbgZ0Q4ujTLGnckcMsTZwQk0EICHKXJ74L+73//C3acD3fB09VXXx2LLLJIy3++qoUIDVoCEmgAgR7uOzaAnl5IQAISkIAEJCABCUigPwEV6P15+NQCAi+//HLsuOOOwe/ScOzhvPPO24JYGKQE2omAcZGABHqdAL85t9pqq8UPfvCD+Pa3vx1ZpqKz12Wi3vQ/8sgjwe8Y8juE/MaqixXrJer3EnifAOMZfpMVG36bkmPZUarzPJjBzcUXXxw/+9nPgsUtWWZdPxgv30lAApUJ2HeszKb93xhDCUhAAhKQgAQkIIF2JKACvR1zpYfi9MwzzwS/ATjbbLMFk0fjxo3rodSbVAl0KQGTJQEJ1E1gwQUXjKuuuio233xzled109QDCEw//fRx2GGHxUknnRTTTTcdVhoJSKBBBMaMGRMTJ07MfeOEh6222io+85nPxPnnnx9PPvlkoCjPX076w88o3HPPPXH00UcHdT2K8+OPPz5cRDwJjv8lIIGaCVCf2HesGZ8f1kPAbyUgAQlIQAISkECXElCB3qUZ2wnJYgfU4YcfHt/97nfjpz/9aXB8eyfE2zhKoBMIPPvss8FRvcT1lVdeiUcffZRbTRUEdCKBdiDw4Q9/OD70oQ+1Q1S6Ig7FOvCBBx4IfjqmKxI2jESw43zJJZd0QcYwmOlUAsMhwJhmyy237PvkkksuiXXXXTfmmGOOGDVqVF72siwLFrMstNBC+Y7zz33uc3H99dfHoosu2vedNxKQgARqIWDfsRZqfiOBCBlIQAISkIAEJCCBSgRGVXqhvQSaTWD06NGxzz77xKc+9al8QqnZ4em/BHqBwJtvvhk333xzvjCluNvpkEMOCX4Tr2jXCzx6MI0mWQISKBBgp+epp54aJ554Yp/tgw8+GMccc0xPKtH7IHgjAQk0nAAnO3DCw3XXXRebbLJJTDnllAPCwO7Tn/50/OpXvwoWOx588MExwwwzDHCnhQQkIAEJSEACEqiCgE4kIAEJSEACEmgiARXoTYSr1xKQgARGksBrr70WnOqAYmiZZZaJbbbZJjccAc3xoSxW4XhQfk95JONlWBKonoAuJdA4Auw033333eNvf/tbbLrppnl9SL243nrrxSmnnBKLL754zDPPPHHppZc2LlB9koAEeppAlmXx8Y9/PM4444x444034sUXX4zHHnssN5wMhB11zpe//GV/SqGnJcXES0ACEpCABCQQIQMJSEACEpBAexNQgd7e+WPsJCABCVRNYOqpp853nh933HFRNCiK7rrrrnjooYdyc+ihh1btpw4lIIFhENBpWxEYP358HHHEEf3qQ+rGc889N68LU5246qqrtlW8jYwEJNA9BMaMGRNzzjlnbuinhf8kIAEJSEACEpCABLqDgKmQgAQkIIGuJ6ACveuz2ARKQAISkIAEJCCBoQnoQgISkIAEJCABCUhAAhKQgAQkIIHuJ2AKJSABCUhgaAIq0IdmpAsJSEACEpCABCQggfYmYOwkIAEJSEACEpCABCQgAQlIQAIS6H4CplACEpDAiBBQgT4imA1EAhKQgAQkIAEJSEAClQhoLwEJSEACEpCABCQgAQlIQAISkED3EzCFEpBApxBQgd4pOWU8JSABCUhAAhKQgAQk0I4EjJMEJCABCUhAAhKQgAQkIAEJSEAC3U/AFEqghwioQO+hzDapEpCABCQgAQlIQAISkEB/Aj5JQAISkIAEJCABCUhAAhKQgAQk0P0ETKEEhkNABfpwaOlWAhKQgAQkIAEJSEACEpBA+xAwJhKQgAQkIAEJSEACEpCABCQgAQl0PwFTOMIEVKCPMHCDk4AEJCABCUhAAhKQgAQkIAEIaCQgAQlIQAISkIAEJCABCUhAAhLofgKdl0IV6J2XZ8ZYAhKQgAQkIAEJSEACEpCABFpNwPAlIAEJSEACEpCABCQgAQlIQAIS6EoC/RToXZlCEyUBCUhAAhKQgAQkIAEJSEACEpBAPwI+SEACEpCABCQgAQlIQAISkIAEJFCeQDcp0MunUFsJSEACEpCABCQgAQlIQAISkIAEuomAaZGABCQgAQlIQAISkIAEJCABCTSNgAr0pqEdrse6l4AEJCABCUhAAhKQgAQkIAEJSKD7CZhCCUhAAhKQgAQkIAEJSEACEmhnAirQ2zl3OiluxlUCEpCABCQgAQlIQAISkIAEJCCB7idgCiUgAQlIQAISkIAEJCABCXQ5ARXoXZ7BJq86ArqSgAQkIAEJSEACEpCABCQgAQlIoPsJmEIJSEACEpCABCQgAQlIQAJDEVCBPhQh30ug/QkYQwlIQAISkIAEJCABCUhAAhKQgAS6n4AplIAEJCABCUhAAhKQgARGgIAK9BGAbBASkMBgBHwnAQlIQAISkIAEJCABCUhAAhKQQPcTMIUSkIAEJCABCUhAAhLoDAIq0Dsjn4ylBCTQrgSMlwQkIAEJSEACEpCABCQgAQlIQALdT8AUSkACEpCABCQgAQn0DAEV6D2T1SZUAhKQwEAC2khAAhKQgAQkIAEJSEACEpCABCTQ/QRMoQQkIAEJSEACEpBA9QRUoFfPSpcSkIAEJNBeBIyNBCQgAQlIQAISkIAEJCABCUhAAt1PwBRKQAISkIAEJCCBESWgAn1EcRuYBCQgAQlIIBHwKgEJSEACEpCABCQgAQlIQAISkED3EzCFEpCABCQgAQl0GgEV6J2WY8ZXAhKQgAQk0A4EjIMEJCABCUhAAhKQgAQkIAEJSEAC3U/AFEpAAhKQgAR6kIAK9B7MdJMsAQlIQAIS6HUCpl8CEpCABCQgAQlIQAISkIAEJCCB7idgCiUgAQlIQAK1EFCBXgs1v5GABCQgAQlIQAKtI2DIEpCABCQgAQlIQAISkIAEJCABCXQ/AVMoAQlIQAItIqACvUXgDVYCEpCABCQgAQn0JgFTLQEJSEACEpCABCQgAQlIQAISkED3EzCFEpCABDqXgAr0OvPu4YcfjjnmmKOiee211+oMwc8lIAEJSEACEpCABNqGgBGRgAQkIAEJSEACEpCABCQgAQlIoPsJmEIJSKBlBN56662YaaaZKupeZ5111njssceaGj8V6HXinXvuueOJJ56oaKaeeuo6Q/BzCUhAAhKQgAQkIAEJNIaAvkhAAhKQgAQkIAEJSEACEpCABCTQ/QRMoQQ6mcAUU0wRzz77bEXd6//+979cud7MNKpAbyZd/ZaABCQgAQlIQAISkIAEGkVAfyQgAQlIQAISkIAEJCABCUhAAhLofgKmUAJDEhg9evSQbupxoAK9Hnp+KwEJSEACEpCABCQgAQlIoCoCOpKABCQgAQlIQAISkIAEJCABCUig+wmYwm4goAK9G3LRNEhAAhKQgAQkIAEJSEACEmgmAf2WgAQkIAEJSEACEpCABCQgAQlIoPsJmMKcgAr0HIN/JCABCUhAAhKQgAQkIAEJSKBbCZguCUhAAhKQgAQkIAEJSEACEpCABLqfQKNSqAK9UST1RwISkIAEJCABCUhAAhKQgAQk0HgC+igBCUhAAhKQgAQkIAEJSEACEpDACBJokQJ9BFNoUBKQgAQkIAEJSEACEpCABCQgAQm0iIDBSkACEpCABCQgAQlIQAISkIAEOouACvRa8stvJCABCUhAAhKQgAQkIAEJSEACRm+76AAAEABJREFUEuh+AqZQAhKQgAQkIAEJSEACEpCABHqOgAr0nsvyCJMsAQlIQAISkIAEJCABCUhAAhKQQPcTMIUSkIAEJCABCUhAAhKQgAQkMHwCKtCHz8wvWkvA0CUgAQlIQAISkIAEJCABCUhAAhLofgKmUAISkIAEJCABCUhAAhKQQEsIqEBvCXYD7V0CplwCEpCABCQgAQlIQAISkIAEJCCB7idgCiUgAQlIQAISkIAEJCCBTiWgAr1Tc854S6AVBAxTAhKQgAQkIAEJSEACEpCABCQgge4nYAolIAEJSEACEpCABCTQwwRUoPdw5pt0CfQaAdMrAQlIQAISkIAEJCABCUhAAhKQQPcTMIUSkIAEJCABCUhAAhKoh4AK9Hro+a0EJCCBkSNgSBKQgAQkIAEJSEACEpCABCQgAQl0PwFTKAEJSEACEpCABCTQYgIq0FucAQYvAQlIoDcImEoJSEACEpCABCQgAQlIQAISkIAEup+AKZSABCQgAQlIQAKdT0AFeufnoSmQgAQkIIFmE9B/CUhAAhKQgAQkIAEJSEACEpCABLqfgCmUgAQkIAEJSEACkwioQJ8Ewf8SkIAEJCCBbiZg2iQgAQlIQAISkIAEJCABCUhAAhLofgKmUAISkIAEJCCBxhBQgd4YjvoiAQlIQAISkEBzCOirBCQgAQlIQAISkIAEJCABCUhAAt1PwBRKQAISkIAE2oaACvS2yQojIgEJSEACEpBA9xEwRRKQgAQkIAEJSEACEpCABCQgAQl0PwFTKAEJSEAC3URABXo35aZpkYAEJCABCUhAAo0koF8SkIAEJCABCUhAAhKQgAQkIAEJdD8BUygBCUhAAv0IqEDvh8MHCUhAAhKQgAQkIIFuIWA6JCABCUhAAhKQgAQkIAEJSEACEuh+AqZQAhKQQKMJqEBvNFH9k0ANBGafffbIsiw3c8wxR0w33XQaGSgDykDDZGDixIl9fn3sYx/ru7eusa5VBtpaBkasrH74wx/uC2uFFVbou1c+lA9loPNlYNy4cX1levnll++7N287P2/Nw97OwxVXXLGvPBf7+spFb8uF+W/+KwOtkYFZZ501n9PNsiz++Mc/1jAz7CcSCBFIQAJtSEAFehtmilGSwCuvvBIaGSgDykCjZIBaNflVvE92XpU1ZaC3ZaBYLxTv65OL3mYqO/O/XWSgWKaL9+0SP+NhWVEGapOBYnku3suzNp5yk5syoAzUIwPUwxoJ9DYBUy+B7iSgAr0789VUSUACEpCABCQgAQlIQAK1EvA7CUhAAhKQgAQkIAEJSEACEpCABLqfgCmUQAUCKtArgNFaAiNJYJZZZokFF1wwN9/61rfi0ksv1chAGVAGGiYDb7/9dnB0O4bjW61jrGOVAWWgKANf/epX++oIdl4U33nfmbJivplvSQb4qSjafwzjjWTvVRlRBjpbBl599dW+tvvNN99s2LhBuehsuTD/zD9loDUyMHbs2HxOl77WI488MpJTyoYlAQlIIETQPAKjmue1PktAAtUSmG+++eKee+7JzWabbRaf/vSnNTJQBpSBhskAk+Y333xzYDbeeOOG+WtdZV2tDHSHDHzuc5/L6wfqiIUXXtg6wvan1TJg+A2UwaeffrqvfK+77rqybSBb28DuaAM7NR8/8pGP9JXtCRMmWLYt28qAMqAMtFAGllpqqXxOl7ndlVdeudrpYN1JQAISkEBEWzNQgd7W2WPkJCABCUhAAhKQgAQkIAEJSKBzCBhTCUhAAhKQgAQkIAEJSEACEpCABDqdwNAK9E5PofGXgAQkIAEJSEACEpCABCQgAQlIYGgCupCABCQgAQlIQAISkIAEJCABCUggul6Bbh5LQAISkIAEJCABCUhAAhKQgAQk0P0ETKEEJCABCUhAAhKQgAQkIAEJSKARBFSgN4Ji8/zQZwlIQAISkIAEJCABCUhAAhKQgAS6n4AplIAEJCABCUhAAhKQgAQkIIE2IaACvU0yojujYaokIAEJSEACEpCABCQgAQlIQAIS6H4CplACEpCABCQgAQlIQAISkED3EFCB3j15aUoaTUD/JCABCUhAAhKQgAQkIAEJSEACEuh+AqZQAhKQgAQkIAEJSEACEpBAgYAK9AIMbyXQTQRMS/cSeOKJJ2LRRReNo446qnsTacokIIFhE7j77rtjuummiyzLqjZjxoyJeeaZJzbaaKM47bTT4umnnx52uH4gAQm0P4G33347br/99vjmN78ZiyyySEw11VR99cTss88eq666apx44olBHyOl5t1334099tgjtthii2TlVQISGGEClL8sq75dz7IsKNMTJkyIb3/723HdddfFm2++OcKxNrhWEDBMCbQTgaeeeirmnXfevr5Glg2vHsuyge4nTpwYL730Ujsl07hIQAISkIAEJNDlBFSg15HBTCo999xzMcUUU8SUU045wGBP5w53dQTjpxLoRQKmeRACl112Wdx11125suv5558fxKWvJCCBXiKw8MIL55NK99xzT6y77rplk55lWZx66qnxxhtvxIsvvhhHH310rjQ/55xzYrPNNotZZ501ttlmm3jmmWfKfq+lBCTQWQRQnP/2t7+N+eefP5ZYYok48sgj49VXX43DDz88/v3vf8djjz0WF1xwQSy22GKx0047xbhx42KBBRbI3R166KGB6awUG1sJdBeBU045JZhzOOCAA2LUqPLTNxtuuGG+QIbyfP3118dWW20V999/fxx22GGx/PLLx4wzzhj77bdfvPDCC90Fx9R0EwHT0mUEZptttnjwwQfjv//9b2y33XYVU7fLLrvEAw88kPdHqMPom5x11lnxta99LaaZZpqK3/lCAhKQgAQkIIHuJ/DOO+/E6NGjB+hdky4W/evLL7/cVBDlR2BNDbJ7PM+yLB/EvvXWW/mqblZ2Fw32ZHCWZeE/CUiglwg0L61Mep988sl5ADfccENce+21+b1/JCABCUAgy7Jc+bX//vvH2LFjsepnllpqqVh77bXzzie7zzfffPM46aST8t0hyeEJJ5wQK6+8cj7pley8SkACnUeAhTCf//znY5NNNomHHnooT8C3vvWtfBHe9ttvHwsuuGDMOeecseyyy+YK9UceeSQ23njjuPfee/Od6kxqv/LKK/l3/pGABFpHAAU4ZXeNNdYYEIlpp502dt1113wRTCrPBx10UHAqzac//encPeMHTpOYe+658wUzLvDPsfhHAg0koFeVCMwxxxyx++67B7vRS93MNddceX+Dd9RfGPomnIx1zDHH5It899xzz9LPfJaABCQgAQlIoEcIsICYTQFFnWvxHv3r1FNP3VQao5rqew94PsMMMwyaSldMDorHlxKQwDAJ3HrrrcEOdD5j8otdKTQWPDfM6JEEJNDxBGaZZZYo10fhiHdWahYTuPrqqweK9aLdP//5z9h3333D+qVIxXsJdA4Bdn2xEOZ3v/tdX6S33HLLQLFWaXwy88wzx29+85tgp2vfR95IQAJtQYCJIU6JqTYynCbB6TIrrbRS3yfsQF9nnXXykyUYR/S98EYCEuhtAk1OPYuAxo8fPyAUNhxhBrx4z4L+yl577ZUr2d+z8iIBCUhAAhKQgAT6ERisL9HPYY0PKtBrBOdnEpCABEaaABNdp59+en70cgr7oosuCo5zT89eI2QgAQkMj8BMM80UH/nIRwZ8dOGFF/btWh3wUgsJSKBtCfDzLl/96leDhTApkije2FFeuoAmvU9XBp/f+973Yscdd0xWXiUggQ4lgNKKE2mmmmqqfimgjBcX1/R76YMEJCCBNiKQZVmuQGe3eqVoaS8BCUhAAhKQgASaRUAFerPI6q8EJCCBBhPgt8HOPffcfr7ym4hnn312PzsfOpqAkZdASwiUU6A/8cQTcd9997UkPgYqAQnURoDFdj/60Y/iL3/5Sz8POMa9XDnv5+i9B5To++23X6Tjn9+z9iIBCXQggeWWWy7WW2+9fjHntwR32mmn+M9//tPP3gcJSEAC7UiA3eurrbZaO0atEXHSDwlIQAISkIAE2piACvQ2zhyjJgEJSKBI4Prrr49HH320aJXfn3nmmYGiK3/wjwRaSsDAu4kAirhXX321m5JkWiTQ9QSuu+66+MUvfjEgnfxUQ5ZlA+wrWbBzFUV86c7VSu61l4AE2pMAp05ssMEGAyL3+OOPx1FHHRW09QNeaiEBCUighQTYOED99Nprr+WxyLIsVl111fzeP+1GwPhIQAISkIAEupuACvTuzl9TJwEJdAkBlFgnn3xyZNnAyW+OcL/sssu6JKUmQwItJGDQ/QhMMcUUwfHu/Sx9kIAE2pYAirDSn3ohsjPPPHMsuOCCMdx/yy+/fGy22WbD/Uz3EpBAmxFYdtllY9y4cQNixSlWKKoGvNBCAhKQQAsJ3HzzzUH99NZbb/XFYoklloiFFlqo7HxInyNvJDBcArqXgAQkIAEJDEFABfoQgHwtAQlIoB0I3HrrrXHNNdfEwQcfHGPHjh0QJZTrKNkHvNBCAhLoGQL1JPSee+4Z8DnHPS+66KID7LWQgATakwCKsNKfeiGm888/f1nlGe8GMyyi2XvvvWP77bcfzJnvJCCBNicw22yzxQILLDAglpxsdfvttw+w10ICEpBAKwncdNNNA4JffPHF47jjjovppptuwDstJNCrBEy3BCQgAQk0n4AK9OYzNgQJSEACdRFIO8pQZm255ZaxxhprDPCPHego2Qe80EICEpDAEASef/75uOOOO/q5GjVqVOy5554xyyyz9LNv4oNeS0ACdRK4995747HHHhvgC5PNHOM84EUVFnPNNVd8/OMfD/9JQAKdS2DMmDExzzzzlE0APxFV9oWWEpCABFpAgJ+m+93vfteCkA1SAhIYYQIGJwEJSKAjCKhA74hsMpISkEAvE0g7yr785S/nyqwttthiwNFlb7zxRnBsK8r2XmZl2iUggeERoM744x//GDfccEPfhyjafvazn0W530ztc+RNCQEfJdB6AuzYokyXxmTeeecNFGil9j5LQAK9QSDLshg/fnzZxD7yyCNl7bWUgAQkMNIE3n777Tj++OODn6gb6bANTwISkMDwCOhaAhLoFQIq0Hslp02nBCTQsQQ4uv3ll1+OiRMn5mngN0n5LcP8ofCHY1tRthesvJWABCRQlsBLL70Ut912W7Ag50tf+lKgdGPX+Ve+8pW477778iObsywr+62WXUjAJHUFgXI/xdAVCTMREpBA3QRmmGGGsn48+OCDQZ+g7EstJSABCYwAgTfffDMfl7B4d4899hiBEA1CAhKQQI8TMPkSkEDVBFSgV41KhxKQgARGnsCrr74av/rVr/Jj2xdZZJE8AjPOOGOwGz1/KPzhdwwvvPDCgo23EpCABPoTuOKKK2L66afPzYQJE/L6BRcc8bztttvGNttsE3PMMQdWGgl0DAEjOpkAE9CT7/wrAQlIQAISkIAE2pvAQw89FFdj7kgAABAASURBVB/84AdjqqmmCsYl5513XntH2NhJQAISkEBbEDASEhhJAirQR5K2YUlAAhIYJoFbb701rrzyylhvvfViiimm6Pv6s5/9bIwbN67vOd2cdtpp8fzzz6dHrxKQgAT6EfjkJz8ZL774Yr7j/H//+1/88pe/zH8XlVMujjnmmOCECxbpHHzwwcECnn4f+yABCTSDgH5KQAISaBkBFtAVxxgti4gBS0ACPUcA5TnzHbfffnvsu+++Mdtss/UcAxMsAQlIQAI9R8AEdxgBFegdlmFGVwIS6B0CHKl8+umnB79dusoqq/RL+DzzzNN3pHvxxQ033BDXXntt0cp7CUhAAmUJzDLLLLHlllvGLbfcEsU6BsX59773vVh55ZXD30Yti05LCbQlgY985CNl4/XWW2/li2bKvqzbUg8kIIFOJjDrrLPG1FNP3clJMO4SkECHEmDxzuyzzx6LLbZY/PCHP4z777+/7El74T8JSEACEpCABNqEQO9FQwV67+W5KZaABDqEwAMPPBDnnntu8FtgpUcqM9jcYostIsuyfqlB6X7KKacEk+X9XvggAQlIoAKBmWeeOY488sgYO3ZsPxc33nhjbLfddu5E70fFBwm0L4EFF1ywbOT4iRdOmSj7stctTb8EeoTAPffcUzalK6ywQll7LSUgAQmMNAFOxDjggANigQUWGOmgDU8CEpCABCQggV4gUEMaVaDXAM1PJCABCYwEgQsvvDAee+yxmHLKKePss88eYB5//PGYc845B0TloosuirvuumuAvRYSkIAEKhFgoqrcJDr10BVXXFHpM+0lIIE2IrDooosGC2JKo/Twww+HCvRSKt3xbCokUA2B1157LRg3lLqdaqqpYokllii19lkCEpBAywjMPffcseaaa7YsfAOWgAQkIAEJSEACRQLtpEAvxst7CUhAAj1NgCOUL7jggvzI1b333js23njjAeYrX/lKrmAvBfXcc8/lyvZSe58lIAEJVCLA8a0TJkwY8JpTLa666qoB9lpIQALtR2C++ebLf3qhNGYozh566KFSa58l0GoChj9CBF566aXgZKvS4D760Y9GpZ9+KHXrswQkIIGRIjBx4sSKQd1+++1x5513VnzvCwlIQAISkIAEJNBIAirQG0ZTjyQgAQk0jsCtt94al112WZx22mm5Eh0lVjlz3333xVxzzTUg4DPPPDOeeOKJAfZaSEACEqhEYIYZZij76pFHHilrr6UEJNBeBFgIs/3228eoUf2HeCzKu/7669srssZGAh1PoHMS8OCDD5ZVoG+55ZYx44wzdk5CjKkEJNATBPhJmoUWWmjAz9Uxv/H5z38+/vOf//QEBxMpAQlIQAISkEDrCfSfXWl9fIxBqwgYrgQk0DYEUJSffvrpMdtss0W5I5WLER0/fnysv/76Rav8niPcf//73+f3/pGABCRQD4GFF164ns/9VgISGEECEydOjA033HBAiCzIe/755wfYD2ZBf4QFeWuttVb897//Hcyp7yQggTYmcOmll8Yrr7zSL4YrrbRSfPGLX+xn54MEJCCBdiCw+OKLx3HHHRfTTTddX3Tok5x00knx6KOPxjzzzNNn740EJCABCUhAAhJoJgEV6M2kq98jRsCAJNBNBDhi8dxzz80V4yjIB0tblmWx6aabBr9hWOru5JNPjuFOlpf64bMEJNAbBJiU+sc//jEgsdQtq6yyygB7LSQggfYkMOWUU8bBBx8c7N4qxpAd6Oeff37RatB76oRTTjklvvSlL+Un3cwyyyyDuvelBCTQngTYscmYoBi7sWPHxiGHHNLRu8+L6fFeAhLofgJ///vf4yc/+UnMPffceb+k+1NsCiUgAQlIQAISaAcCKtDbIReMQ68TMP0S6Efgt7/9bTz22GO5Aj3Lsn7vyj3w24X8hmHpuxtuuCH+8pe/lFr7LAEJSGAAAeqcq6++eoD9FltsEUsvvfQAey0kIIH2JTDvvPMGfQkmmYux/NrXvhYXXnhh0ars/QsvvBA77LBDfOUrX4ltt902fv7znweK+bKOtZSABNqWAAth2LHJyVQpkijPzzrrrFh22WWTldeRJ2CIEpDAMAjw83YbbbRRPPfcc8EGgzFjxgzja51KQAISkIAEJCCB2gmoQK+dnV9KQAI5Af80kgC7zzmu7IMf/GAsssgiVXnNbxeWO2KZSbPDDz/cXehVUdSRBLqLwKuvvhpvvPHGgES9/PLL8eabb/az53nvvfcOfiO1+GLLLbeMww47TMVZEYr3EugQAhMmTIgrr7wyll9++b4Yc4Tz2muvHdttt108/PDDffbphp2q++23X4wbNy6OPfbYvPwfddRR1gEJkFcJtJAA7TpltDQKtPW8K7XHbq+99orddtut7xVji2uuuSZWXXXVPjtvJDB8An4hgeERYKzBGKT0q0r1V3LHd/wEzSc+8Ym+fgv9m6mnnjo58SoBCUhAAhKQgASaSkAFelPx6rkEJND2BNoogvfff39svvnmcd999+W/7cXkdTVHsD/55JP5N+WSctVVV8Wee+4ZTKKVe6+dBCTQXQTefvvtuPfee2PXXXeN//73vwMSd+ONN8YBBxyQK8sff/zxuOiii2LllVeO448/vs/tbLPNFr/+9a/jhBNO6Pfbg30OvJGABDqCwPjx44N+AOWZcp0ifcwxx+S/H8oOLn5HFMM9ivM99tgjllxyybj99tvjm9/8ZowePTp95lUCEmgRARRPLIq95JJLBsTgrbfeyn+24c477wza9TvuuCNYCMNJFPvss0/unvJ/5JFHxs033xyLLrpobucfCfQsARM+YgRY0M8pV4w9GIOUBsxYhTHLPffck9df1GGYyy+/PL7//e/nR7VvttlmwQLA9O1SSy2Vbr1KQAISkIAEJCCBphNQgd50xAYgAQlIYGgCt9xyS8w///z5RHdyzeTX2LFjgwkwBpLJPl0POuigyLIs5phjjvjb3/6WrAdcmTCbddZZ46abbhrwTgsJSKB7CNx9990xwwwzxAILLJAf31wpZYccckigWOOkizXXXDP4DoUZu9T+9a9/5RNYX/ziF1WcVQKovQQ6iAAKcMoz/YjrrrsuvvGNbwSn1nAkO0o5dqIzgU29QR1AfcAOVX4epoOSaVQl0LUE+CkVFrhQPt95552y6TzvvPOCMku7vvjii8eBBx4Y3H/rW98Kyj3lf6eddoppppmm7PdaSkACnUOgU2L61FNP5eONueaaKxh7VIo3Pzmz0EIL5XUW9RZmlVVWiZ/85CeBH8XvqMNKf56m+N57CUhAAhKQgAQk0GgCKtAbTVT/JCABCdRAgN8wZ4V2OcOxynPOOecAX1mVXc59OTsmydtwtfaANGkhAQnUTgClGGW9XB0wmN0zzzwT/Lbg/vvvn+9MQ+FWeyz8UgISaEcClOuPf/zjccQRR8Rdd92V/8RDqhc4QjXVAUxiZ1nWjkkwThLoSQKnnHJKpLJa7fWll17K2/VDDz00KPeU/56EZ6IlIIGWEeDkiwcffLC0/qrrmZ3oyyyzTMvSZMASkIAEJCABCfQeARXovZfnplgCEpCABBpCQE8kIAEJSEACEpCABCQgAQlIQAIS6H4CplACEpCABCQggV4joAK913Lc9EpAAhKQgAQgoJGABCQgAQlIQAISkIAEJCABCUig+wmYQglIQAISkIAEhk1ABfqwkfmBBCQgAQlIQAKtJmD4EpCABCQgAQlIQAISkIAEJCABCXQ/AVMoAQlIQAISaAUBFeitoG6YEpCABCQgAQn0MgHTLgEJSEACEpCABCQgAQlIQAISkED3EzCFEpCABCTQoQRUoHdoxhltCUhAAhKQgAQk0BoChioBCUhAAhKQgAQkIAEJSEACEpBA9xMwhRKQgAR6l4AK9N7Ne1MuAQlIQAISkIAEeo+AKZaABCQgAQlIQAISkIAEJCABCUig+wmYQglIQAJ1EFCBXgc8P5WABCQgAQlIQAISkMBIEjAsCUhAAhKQgAQkIAEJSEACEpCABLqfgCmUgARaS0AFemv5G7oEJCABCUhAAhKQgAR6hYDplIAEJCABCUhAAhKQgAQkIAEJSKD7CZhCCXQ8ARXoHZ+FJkACEpCABCQgAQlIQAISaD4BQ5CABCQgAQlIQAISkIAEJCABCUig+wmYQglEqECvUwrefvvtQX0Y6v2gH/tSAhKQgAQkIAEJSEACEpBAIwjohwQkIAEJSEACEpCABCQgAQlIQALdT8AUNoSACvQ6MT711FMxduzYmHnmmcuaN954IzpBiT777LPHjDPOmJv55psvVlxxxdwstdRS+TU9e53MpdEc7r///lh88cVzs9Zaa8n8PflrNGf9a478yrX9uV511VV5/UI9s+2221rHWMcoA8pAPxnYcMMN++qIf/3rX/3eWce3fx3fK3lkOmuTRcZ4tP+Yvfbay/Jt/a8MdIkM3HbbbX1t9zXXXGO+dkm+2tbV1tbJTW6tkIFlllkmr3vHjx8f55xzTowaNSpGjx4dV155ZZ3aBj+XgAQkIAEIPPfcczHNNNOU1bsmfewTTzwRzfynAr1OuuPGjQsy8plnnolyhgym8awzmBH5/IUXXggMgV199dWBKd7zrJnMpdEcxowZE7fffntunnzyyZx9o8PQv+bknVzl2gkyMMMMM+T1C/UM9U0nxNk4WraUgZGTgddff72vjph++unth7zXD1YGR04Ge4B1y8oVY1Taf4zlW5m2rHWPDBT79yyUMW+7J2/NS/NSGegMGXj00Ufz/t2DDz6Yb55755138uuHPvQhptM1EpCABCRQJwE2Lr/66qtl9a6MczFzzDFHnaEM/nmNCvTBPfWtBCQgAQlIQAISkIAEJCABCUhAAt1AwDRIQAISkIAEJCABCUhAAhKQgAR6i0BvKtB7K4+rSu1iiy0W7ErEfPazn43nn38+N+edd15+Tc9eJ3NpNAd2gyRz/vnny/w9+Ws0Z/1rjvzKtf25nn766X31inVM++eXZco8GmkZ4JjBFOZZZ53VV18kO6/KpDLQuTJw00039ZXps88+u+++p/LUsYX53oUycOaZZ/bla7Gvb9nu3PravDPvlIHOkoG///3veT38yCOPxI033hh33XVXbpZccsmq5uJ1JAEJSEAC7U9ABXr759GAGDbDYuqpp46XXnopN7POOmtwHBhmrrnm6rvnWTNDU3jA/8UXXwwMPwsg5+Zwlqtce1UGinV58b5XeZhu6wJloL8MFOuF4r2c+nOShzw6UQaKZbp434lp6dU4m27rnnIyUCzPxftybrVThpQBZUAZaLwMpLqX61JLLRULL7xwbnhuxty9fkpAAhKQwMgTUIE+8sx7PUTTLwEJSEACEpCABCQgAQlIQAISkED3EzCFEpCABCQgAQlIQAISkIAEOpKACvSOzDYj3ToChiwBCUhAAhKQgAQkIAEJSEACEpBA9xMwhRKQgAQkIAEJSEACEpBArxJ8GSYXAAAQAElEQVRQgd6rOW+6e5OAqZaABCQgAQlIQAISkIAEJCABCUig+wmYQglIQAISkIAEJCABCUigZgIq0GtG54cSkMBIEzA8CUhAAhKQgAQkIAEJSEACEpCABLqfgCmUgAQkIAEJSEACEpBAKwmoQG8lfcOWgAR6iYBplYAEJCABCUhAAhKQgAQkIAEJSKD7CZhCCUhAAhKQgAQkIIEOJ6ACvcMz0OhLQAISGBkChiIBCUhAAhKQgAQkIAEJSEACEpBA9xMwhRKQgAQkIAEJSEACKtCVAQlIQAIS6H4CplACEpCABCQgAQlIQAISkIAEJCCB7idgCiUgAQlIQAISkEADCKhAbwBEvWgPAi+//HIcccQRMfvss8f555/fHpEyFhKQgAQaQEAvJCABCXQygZtuuimmm266yLKsajNmzJiYZ555YqONNorTTjstnn766aYjePLJJ2OxxRYrG8eJEyfGSy+91PQ4jGQA9J033njjsunNsizmnXfeePzxx0csSoRFmFlWnZwgU8hWMYLkEXmVZeX94B1uit/Ueg+/9dZbryw/0kF6avXb7yQgAQlIQAIS6F0CplwCEpCABCQggfYgoAK9PfLBWNRB4OGHH44ddtghZphhhth5553jqaeeqsM3P5WABCQggQYT0DsJSKDHCSy11FK58vmee+6JddddtyyNLMvi1FNPjTfeeCNefPHFOProo3Ol+TnnnBObbbZZzDrrrLHNNtvEM888U/b7RliyCPO2226LH/zgB43wru39QAF91llnxVtvvRXHHntsrghuZaTnnHPOuO++++LPf/5zzD333GWjkmVZ/OIXv8jlBAU2slV0yMKLyy+/PH9/wQUXxNixY/PXiyyySNxyyy1x2WWXBW5yyzr/wO/cc8+NX/7yl3X65OcSkIAEJCABCUigawiYEAlIQAISkEDXEFCB3jVZ2VsJeffdd+P666+P1VdfPd+dxCTrO++801sQTK0EJCABCYwAAYOQgAQaQSDLslhggQVi//3371NqFv1FEbr22mvHlFNOmSs4N9988zjppJP6KXVPOOGEWHnllePBBx8sftrQ+9GjR8cGG2wQ00wzTUP9bWfPSPM666xTUWk9knEnLquttlocfPDB/fI+3vtHviyzzDK5nLxnVfaCHH3yk5+MJZdcMqaddto4+eSTY8KECWX9LOtBlZZZlsWqq64ac801V5Vf6EwCEpCABCQgAQlIoH0JGDMJSEACEpDA+wRUoL/PwrsOIPDmm2/GGWecEQsuuGAst9xycckll3RArI2iBCQgAQlIoEUEDFYCbUZglllmyU8NKo0Wu3lRehbtWSiJYr1o989//jP23XfffNd00b6R96NGjWq4orWR8esFv9ZYY41YdtllByT1lVdeCU4yGPCijMVrr72Wn0zFqQelclTGec1WKP0xNXvghxKQgAQkIAEJSEACEmgEAf2QgAQkIIGGEhjVUN/0TAJNJnDFFVfENddcE+eff36gTPfIxCYD13sJSEACEpBACwkYdG8TmGmmmeIjH/nIAAgXXnhhPPTQQwPstegeAjPOOGN8+ctfLpsgdpO/+uqrZd8VLW+88cZc2b7FFlvEFFNMUXzlvQQkIAEJSEACEpCABCTQZgSMjgQkIIF2I6ACvd1yxPgMSoAjEo888shYdNFF84kwjvEcN27coN/4UgISkIAEJCABCbSAgEE2gEA5BfoTTzwR9913XwN814t2JrDWWmuVPRr9sssui1tvvXXQqL/11ltxyimn5KdWLb300oO69aUEJCABCUhAAhKQgAQkIIE6Cfi5BCTQhQRUoHdhpvZSkvgdxKmmmqqXkmxaJSABCUhAAhKQwAgQaN8g3n333ahmB3L7psCYVUNg/PjxsdVWWw1w+sYbb8Tpp58eyMGAl+9ZPPzww3HVVVfFxhtvHLPOOut7tl4kIAEJSEACEpCABCQgAQlIYCABbSQggXIEVKCXo6KdBCQgAQlIQAISkIAEJNCWBDiOm+PdB42cLzueQJZlsckmm8TYsWMHpOXcc8+NBx54YIB9suCY/5dffjk22mijZOVVAhKQgAQkIAEJSEACEpCABLqRgGmSQJMIqEBvEli9lYAEJCABCUhAAhKQgATqI3DPPfcM8IBj3fk5nwEvChbsUP/1r38dyy23XHBaUZZlMXr06FhiiSWC39BGuRoN+Ic/Rx11VCy22GKRZVluFlhggfjmN78ZF198cey6665x0EEHlQ3p8ccfjwMOOCBwn2WTv82yLI/vhAkT4thjj40XXnih7Le1WBLed77znZhjjjnyeI4ZMya22WabeOSRR2rxLu6+++74+te/3udflmUxfvz4+MlPftKweC+yyCKxxhprDIjfo48+GijJB7yYZPHSSy/F2WefHSussELOdpLVoP+RFdyvtNJKOfssez8v5p133th5553jP//5z6B+DPclu+evv/76+MIXvhAzzzxznh9ZluVH1pNH7KAv5+ftt98es88+e5/7LHs/rltssUX+ydtvvx2/+c1v8rwYNWpULptXXHFF/q70T615SPz/8Y9/5PFHjrIsC6783BZye8kll8TEiRMDmSsN02cJSEACEpCABCQgAQlIQAISeJ+Ad+1LYFT7Rs2YSUACEpCABCQgAQlIQAK9SuD555+PO+64o1/yUQjuueeeMcsss/SzLz6gLFx88cVj0003jXvvvTdOO+20eOyxx+K8887LFXocC/7BD34wLrjggkGPAY8h/t15553B72vvtNNOMeWUU8aVV14ZKD5/+MMfBjukUfweeOCBA3xB+Xj00UcHytk99tgjvvrVr+bfEcczzzwzZpxxxrjtttty5fTcc89ddzwJ76yz/p+9+4B3mur/OP4LoCxBxAWCiAqK4kD/7r334MGFG8WBE30UEfVRcS8cIA5coKK4EDdOluJWxAFupiyVIUsQ+PM9kJrmtve2vW1vm354kSY5OUnOeSdNe/PLOX3OtL8777zTpk+f7sqk4P/DDz9sm266qb3yyisuLZWXxYsXW9euXU3BbQVLFSj94Ycf7LvvvrNmzZq5ZRtvvLF9+OGHqWyu3DzqbUCBYc/zyuTTcdU5El6gIPMnn3xiJ598stWqVSu8OG5+1KhRpnNFXb0rkC13HQel77HHHjZhwgS75557rGXLltalS5es/HTA1KlT7aijjnIPd+h4n3XWWabW9PLTgyE6RnJMtD+VVUHp66+/Pq4e/oyOaYcOHeyEE06w8ePHu/P722+/tbZt29qXX37pZ7PKHEOte+ONN9rWW29tOq9UTpX/gw8+ML2v9FDFAQccYL/++mtsf0wggAACCCCAAAIIIIAAAgjkS4D9ZEuAAHq2JNkOAggggAACCCCAAAIIZEVAQd/XX3/dFAj1N6ggda9evaxdu3Z+UpnxCy+8YPvss48LnGvhXXfdZccee6w1btzYDj30UNO80tWy+8gjj7SBAwdqNu3hjz/+MAV2x44daw0aNLAnnnjC1IK5adOm1mF5AFPByr333jvhdrVPBd0ViFSgUS2ctZ7KqLJqW563ImDsl/Odd95JuK1UErU/tXTW/vz855xzjin4rN8TVxBcQVAFi/3lycbaxnnnnedamSuPH5RXgFnBX7W2V4v/33//3Q455JC4oK3yZzLsvPPOtsMOO5RZVedGOEiv86Z///7uYYFk/v6GFGCWtx6y0DFUUFh10HFQcPjZZ591Dwn4+e+44w7Xo4D24aelO9Y+FZh/8cUX3aoK3CsYLkft+4EHHnDnqhZqf+rJQOaa9wf1pHDwwQdbnTp1/CQ3/vvvv+3iiy+2ESNGxLbhFix/mTVrlg0ZMmT5lLngeWWOoYL+evBDG9N5pAdaVH6Z9evXzwYMGGB60EXLGRBAAAEEEEAAAQQQQAABBBBIS6CAMhNAL6CDQVEQQAABBBBAAAEEEChlAXW/rVbACk6rFa2ClQrGnX766fbLL7/Yueee67qvTmSkoPUZZ5xhS5cudYsbNWrkuvF2Mytf1K230jWrfMqvQKzm0xnURfWnn37qVqlbt64LoruZlS9qzdynT58ygUzVTw8BaN/K+tZbb5m2pWl/UHfwasnrzyvv3XffbQsXLvSTUh6rRfzll18eM9GKe+65pwuA169f37WcP+mkk0xl9bwVQXvlSTa88cYb9sgjj8QWqwW+uoT3ExRIV5f0mlfQVt25//PPP5rNeFCLfJUxvAGdGwrYBrev1uPqWUAPWQTLFV5X8wr0+j8RoLL27t3bgttSV+nbbrutssYGPdyghyZiCSlOKJuOvbrM9/epND3EoQdDNK2hefPmcefsQw895B76UF21vLxBAX+9V7T9kSNH2kYbbRSX3T+nKnMM9dCFfrLA37C26Xn/njee57kHVq644go/C2MEEEAAAQQQQAABBBBAAAEEilIgkwB6UVaUQiOAAAIIIIAAAggggEBhCgwbNszq1avnhjZt2rgW3SqpgtPq4lqBx/IComqle/PNN5sCoVpPgwK5a6+9tiZjg+aV7icov1oA63ew/bRUxgpQ+vn0e9xPPfWU6y7bT9NY3ZgrkKtpf/jrr7/iurZWcFwtwIPBcbUw1uCvo7GCtgpeajqd4aWXXirz+92y1O9VB7ejVtHqLj6YFp6WkbqeV5n9ZQowq5t1f15dpsvYn9cDAgro+vOZjtV7QJMmTcqsPnjwYJONv0Ctr9VF/WGHHeYnJR2ry/TgQgWgg2X1PM+CdVPeP//803W3rul0B3XrH3xYonbt2rbJJpvEbUb7k2kw8fbbb3fd4wfTEk3rQYPzzz/fPRTRfHkgXg8vKKCuvAcddJCp1XqGx9B8Fz2g4E9ru3379nVdxWvaHzzPs+OOO86C54G/jDECCCCAAAIIIIAAAggggAACxSJQggH0Yjk0lBMBBBBAAAEEEEAAgdIQUKtoBZfV0lbdfz/22GPu97T1m87q1lrdeCtAqGCigoBhldGjR9trr70Wl1yzZs0yXUmrta9aXgczvvfeeykFKIPrzJ8/Pzjrfvdbv2s9adKkWLrneaZuuNVdtp+orsLVVbc/r7HKo8CpppMNahkdDFwnyxdMV4vn559/PphkiYK2cRnKmVHAWQHqYJZwoD+4TNMKOI8ZM0aTlRoUED7ttNPKbGPWrFnm11HnRd/lAV09DKCHMMpkDiVsv/32cSmy0QMAcYkJZnQsEiSXm6Rjod+bD2bSMVd398E0Ta+55poaxQa9H9SqPpaQZEI9F6grdX+xzkc9dKH19XMIev9U9hiqy389rOLvQ8H0rbbayp5++mlbsmSJn2ytW7d2PSuoFX8sscom2DECCCCAAAIIIIAAAggggAAC6QsQQE/frGrXYO8IIIAAAggggAACCERYQAHEDh06mLpk33vvvWM1VYD0sssuMwVIg4FqZfjss88sHNRWi2W1YNdyf1CAdK211vJn3VjraX03k+JLsFz+Kvpda7XiVqvz77//3iVrSfgjqgAAEABJREFUf8HW3grSqmXwrrvuaipH+/btXRfdCqa6FbL4ou7bv/7667gtav/B8sQtrGBGLb1lFcymBxcUwPYHtQgPB/q1XnCdTKY9b0WrZj2AEF5fv8k9bdo002+Zf/zxx3byySe7BwXC+cLzyqff8NZx2GabbUy/nb7hhhuGs2VlPtGxWGONNSxRgFndood3Onz48Aq78NfDDJ73b3fq2oaOtd5PnrciXceiMsewWbNmtummm2rTsWHOnDmmn1vQb8c/+uijpvep53mm+qlMsYxMZCbAWggggAACCCCAAAIIIIAAAlUiQAC9SthLd6fUHAEEEEAAAQQQQACBVAQaNmxoPXv2tHDQVMFuBT4VqPO38+233/qTGY3TXX///fd3rWwT7UyB9FatWrnfglYL7HAetdh9//33bcaMGa7lbqNGjVzrXbXUvuiii2zzzTe3CRMmhFdLe/6PP/4wBTeDKyqgGvYMLi9vOvzQgvKq6/pjjjnGgkO4lbr/MIHyV2aQqboiD29D29fDFgri64GJXXbZJZwl4bxaZKtLeh2HL774wtQLgjIqGK9u9bW/xx9/XEmVHtTN/8yZMzPezrhx40yt2DPewMoVK3sMFRTv2LHjyq3Fj+SoZTqf1WJevUnE52CuFAWoMwIIIIAAAggggAACCCBQrAIE0Iv1yFHuqhBgnwgggAACCCCAAAJ5FGjRooUlCoiqu/Zhw4bFSqKuqmMzGUyku75aDj/33HOmIGuy3Wn5TjvtVOY3ooP5p0yZYpdccolrja7A+ciRI+2WW26xRK2Qg+ulMq2AbSbdjSfbtrrrDi875ZRTTIHS8oZ+/fqFV8toXq30Tz31VPO8Fa2p/Y1o3zfeeKM98cQT1rZtW1N37/6yVMd6GEPBch3PRo0a2f/+9z87/fTT7bDDDkt1E+Xm0/ZVznIzlbNQwfNg1+nlZC13UTaOoYLk119/fdL96KGNww8/3PRzC5Wpc9IdsACB/AmwJwQQQAABBBBAAAEEEChhAQLoJXzwqXqpCVBfBBBAAAEEEECguATUBXqbNm3KFFqBuWBLZ7UmLpMpjYRM1t9ss81MXYZfcMEFVq1a4j+rFLA8//zzXbfWweJMnTrVTjvtNBcov/POO03B4bfeestt74gjjnDzwfyFMN2yZcsyxZg3b55lM0hfZgehhJ133tl22GGHUKqZWvSr1b66xPe8+AB7mcyBBAWl7733XlPQXMF5tWbv3r27e+hBPxegXhAC2TOeVNf5npd6ucI7Us8Bq6yySjg57flsHEOV48orr7R3333X9MBBskJ069bN3nnnnWSLSUcAgZwLsAMEEEAAAQQQQAABBBCojEDiOz2V2SLrIoAAArkQYJsIIIAAAgggUJIC9evXT1jvYHfUrVu3Tpgn1cRM11fZ1M389OnTTQFXBUrD+3zvvffsu+++iyWPGjXKBYH79u3r0hR8V1fo6hbe8zIPsrqNBV7Uir1OnTqBFLNFixaVCebHZShnJlHX7+PHj7e//vqrnLWyu0gPOpx00kkJN/p///d/tuWWWyZclihRvQ6ccMIJpgcg1GpaeTp37uxanyc6jlqe6dCkSRNT9+eZrt+8eXNTED3T9f31snUMPc+zffbZx7755hsXSN9+++39XcTGS5cuNZ3XetgllsgEAgggkKoA+RBAAAEEEEAAAQQQqGIBAuhVfADYPQIIlIYAtUQAAQQQQACB7ApsuummsQ1ut912Fg4Wq2V0OHinNLWajq24fELraf3lkyn//+9//2sDBw6M5V9zzTXt1ltvNbUsP+ecc2Lpmpg/f7799ttvmjQF/Y8//nibOHGim9eLAue77babJrM6NGrUyNZee+24bSpo/Mcff8SlpTqjhwzUUj6YXw8G/PLLL8GknE8feuihpoB0eEcKrCvAHk5PNK/z4PLLL7fnn38+tljB5TPOOKNMF/GxDJWYWH/99csE95csWWIawpv1g/nB9D322MNq1aoVTMpourLH8OuvvzY9dKDzSAWoXr26C6SrJwa1SFc9le4Pv/76q4Xfb/4yxggggECUBagbAggggAACCCCAQPELEEAv/mNIDRBAAIFcC7B9BBBAAAEEqkRAAfDRo0eX2feqq65qe++9dyx98803d4G8WMLyicmTJ5cJ3i1cuNB+//335Uv//a+WtFr/35SKpxSEfu6558p0X64W6b1797abbropthHP88xv0fzaa6/Z2LFjY8s0se6668aWaz5bg7arLs+D21uwYIH98MMPwSQ3rUCuBjeT5EWtu9XKO7hYDweoC3R1hR5M96cHDRpkN954Y8JAsZ8n3bFaY6v7++B6eljgkEMOCSaVO62u9Z999tm4PDp2ehAiLjFLM2o93r59+7itzZw506ZNmxaXphk9ZKGxP6y11lp22GGH+bOVGlf2GKoHg6FDh8b1qKACed6KFunDhw+3jTbaSEluqFu3bkH+HIErHC8IIIAAAskESEcAAQQQQAABBBBYLkAAfTkC/4tXQDf6NBRvDSg5AgjkXoA9IIAAAggUq4Babn/wwQdlin/qqadasNW4AtT/+9//TK2I/cw//fSTzZo1y591Y3W1/v3337tpvSi/1tP6mk9nUAv0Dz/8sMwqnufZAQccEGsR36xZM9tss81cvpEjR7px8EUBfQX2/bS5c+dm3M26vw2N1Vr83HPPNT1soHl/UKvrYMBbDymoq209cODn0VjfsTVoWoNad59//vmajBv69etnvXr1iguSa7177rnH1BpfLezVUjlupUrMeJ5nxx13XNyx3muvvUzOqW5W58aff/4Zl13uwfNFRolag8etlMaMeh7Yd999Y2vo4YPx48fH5jWhlvGffvqpJmNDly5dLN0HPGIrhyaycQzV+vyuu+4y+YQ2b3q4IdibQrZazof3wzwCCCCAAALJBViCAAIIIIAAAghkR4AAeiUdJ0yYYI0bN046qJVHJXfB6uUIjBs3LmHLDXUnWc5qLEIAAQSKR4CSIoAAAhES0HdjtWINV0ndPIcDcprv3r27hYOMHTp0MAXwVllllbjNbL/99vbAAw9YtWor/sRRQFitZYOZFMBWN+tKU76HH37YdthhB83GhqVLl5qCyrGE5RMKCIfTVI+OHTuagrHLs8T9HzNmjClAqsSTTz7Z1ltvPU1a06ZN3Tj4MnjwYHvxxRdda/b33nvPFGSdMWNGMIsLTqsMwUB7XIYkMwpmKogdXDxo0CC74YYbXJBeLenPO+88u+qqq6xmzZrBbCa/Bx980BQw9RcocH3mmWf6s24sl0suucQFsPVggwb9faRu7tU6PezrVqrkS6tWreyggw5yW/E8z7RPPTDgElJ4WWONNcq0jFZA/Y477nC9FqgV+NFHH22yCm9O56UGHQ8t01iDpv1B8xr8eY0VvNb52bJlS826YcCAAXGBaP1to3PULVz+IuuLL744pW7lE72Hlm+izP9sHEP1viCrcB11Punc1051Dhx11FGaZEAAAQQQQACBVAXIhwACCCCAAAJO4K+//nIPzutvy2SD7lu4zDl6WXF3KUcbL4XNqqXDlClTLNmQSWuWUnDLRh31m3pXXHGFu9kY3l6fPn1s1KhRZW5+hvMxjwACCCCQWwG2jgACCEhAgbaff/7ZunXrZn4AW+n+8Nlnn7luzxUs1/dqBZXVevWhhx7ys9jaa69taimtoLe6ho4tWDnheZ4de+yx9tJLL5m641aygo/qqlvbVPfpmle6litfu3btNBsbFBjVPhXojyUun/jiiy8sUVfy6gpc3Zqry3ZNK/Cq9c8+++zla5kpCHvppZfGAqDqijvcIlwB+xNOOMH0QICC5woGK/DtNrDyRX8Uqvvtgw8+2NJpFe15nt18883ml2fl5uy6665zLeTVPbiCoTLaaaed/MWxsQLtejDh66+/dmkqo1qW+44uceWLegt4/PHHTcPff/9tr776quUqgKpguZw8zzP577jjjitLkdpIllovnPvRRx81dbe+/vrrmx5W0LEL52nfvr1raa1zVg8P6JzU8Qnmk8WIESPK/C3SokULe+utt8zvWl/26gFB570Cz506dXJ/V2pb2resZa55f9A5+vrrr8ce0PDTdY5q2yqTn5ZorO1pu5U9hvo7TOej3qt6f3311Vd2yimnmFrQ16lTx/Q+UH0TlYE0BBBAAAEEEIimALVCAAEEEEAgWwL16tVzvQrq781kQ5MmTbK1u4TbIYCekIXEQhV45513XOsW3XjU7+vpxlSisv7yyy+2zTbbuJYlW2yxhfk3/RLlJQ0BBBBAAIEkAiQjgEAWBD7//HMX0FYwTYHaZJtUi9bmzZu71toKzKmr9a233toUqFPvQvqDSd1gl9cduOd5piC1ApiPPfaY6yVK66gF+BFHHOHmla7lyud5Xqw46t5d3x8V+IslrpxQa3IFtTt37uxS1Hr91ltvNT0RrYD+8OHD3XdPBV7POuss0/iZZ54xtTBWy2O30vIXBal79OgRayW/PCn2X62q1WL++uuvd12fxxasnJCfyq7g/8qklEZ6oPf++++3YcOG2YEHHugC9VpxnXXWscsuu8z0YMN+++3nyqyy6xipJbTqpmDsDz/8YAo4ax0N2p7q8O2331qHDh1MrbmVrmHjjTe2q6++2iZOnGg6hkrL1aAgtFq3H3rooXFlSGV/OiZqDa7jFM6v+ulc1AMAar0fzqMAtDxbt25tbdu2ta5du4Y34QLneihCDxCoZXgwQ/Pl57j+htFPE6jsaqWvNHXTriC6Wu6rl7Pbb7/dVJbguvqbRjcIZBxM17QexFBwXz0JqG5KSzZou5keQ/1tpQeZ9f7U+0Xd+uv91aZNG3v77bftjDPOMC1T3ZLtn3QEEEAAAQQQQKAABSgSAggggAACcQIE0OM4mCl0Ad3c0w0ldZmpG3oVDWrt9M0338Td9Cv0OlI+BBBAAAEEsiPAVhAoDAG19FUQsaLvbeHl6lJbPQrdeOONttlmm1l5gfNwTdVCvcPy4K5ajev7oLatseaVruXhdRRQ1vdG5U02qOWu1lMgW8FntVY+5phjTK1w586d6wKnWnfs2LGuNXy4zJ7nmQKOClAryKkuunv37m16QED73nPPPbV5U9BfLZy7dOniAtIKuH700Ueu5bPLkOaL53mmFv0qp/89etq0aaaHABSQVz2eeOIJU5ftqs8GG2zgWmIn243neaaArxx0nFRnDerOvnv37u6BiWTrZitdQXCZXHvttRltss3ygK8C1i+//LJdcMEFznnIkCGm+qhLegXK9cDuxx9/bAqoK48eLtCDHHoYQ2bqxUD1TjYMHDjQEp1rOi922WUX10o/eN6oJbsC2+GgvV9BPcigBz2S7U/pOr6dOnXyV0k69rz0j6Hey/Jo3ry5bbLJJu780THXfjVo33oAJdFPFSQtCAsQQAABBBBAAAEEsiDAJhBAAAEEsi1AAD3bomwPAQQQQAABBBBAoFcmdfgAABAASURBVPICbAGBCAsoQKpu1fWzQ+eee26ZBwQ8z3Ndk992222mgLRavyvoGmGSKqmagtuHH3649ezZ0znvtddeVqtWrbiy6LfWFFBXHj1coAcO4jIwgwACCCCAAAIIIIAAApUTYG0EEECgAAUIoBfgQaFICCCAAAIIIIAAAsUtQOkRQAABBBBAAAEEEEAAAQQQQCD6AtQQAQSiKUAAPZrHlVohgAACCCCAAAIIIJCpAOshgAACCCCAAAIIIIAAAggggED0BaghAggkESCAngSGZAQQQAABBBBAAAEEEChGAcqMAAIIIIAAAggggAACCCCAAALRF6CGCOROgAB67mzZMgIIIIAAAggggAACCCCQngC5EUAAAQQQQAABBBBAAAEEEEAg+gLUsKAFCKAX9OGhcAgggAACCCCAAAIIIIBA8QhQUgQQQAABBBBAAAEEEEAAAQQQiL5A1GtIAD3qR5j6IYAAAggggAACCCCAAAIIpCJAHgQQQAABBBBAAAEEEEAAAQQQiL5AhTUkgF4hERkQQAABBBBAAAEEEEAAAQQQKHQByocAAggggAACCCCAAAIIIIAAAtkQKOwAejZqyDYQQAABBBBAAAEEEEAAAQQQQKCwBSgdAggggAACCCCAAAIIIIAAAgUiQAA9hweimDY9f/5823PPPd3w9NNP24UXXsiQR4NJkyY5ex2DSy65BPs82nOu814vlXPgwAMPdNeWdu3auXGp1Jt68h7nHEj9HOjUqZMdfPDBXCP4HsI5ELFz4Mgjj3TH9JBDDnFjroupXxfTsSIvrvk+B8477zz3nt57773dON/7Z3+c85wDnAOlfA7oXm4x3funrAgggAAC6QsQQE/fLJJr1KlTx4YNG+aGJk2aWK9evRh69cqbQc2aNZ29jsHw4cPztt9eeawj+8rf+YQ11onOAT0opfRx48ZxjeHaxznAOZDwHOjfv7/Nnj074TJdPxj4fOEcKM5zYMqUKe59PXPmTDfmOBbncczxcePcKMLvBo888og7bsuWLXNjzhHe25wDnAOcA/k7ByIZIKBSCCCAAAJxAgTQ4ziYiY5A8dZkxIgRpkAXw3wc5mPA+yB758BLL73k3lPvvPOOG2ObPVsssYzKOTB+/Hh79dVXuUbw+cs5ELFzYPDgwe6Yvvbaa24clWsW9eDz999zoDQtpk2b5t7TAwcOdONS96D+pfk+4Lhz3KvqHFhzzTWL9+YzJUcAAQQQSEmAAHpKTNHPNGfOHNt1113dMH36dDvhhBMY8migL3u+/6xZs6x27dpWmwEDzgHOgSyeAw0bNnSe/phrDNdZzgHOgfA5oOuDhnA685wrnAPFfQ7472t/zPEs7uPJ8Yvg8cvwO//qq6/O9/sM7Xgf8T7iHOAcyMY5EP2IATVEAAEESluAAHppH/9Y7evXr28ffPCBG44++mhTF54M/fPmsMEGGzh7HYNGjRrFjkuxTlBuBBBAAAEEEEAAAQQQQAABBBCIvgA1RAABBBBAAAEEEEAgigIE0KN4VKkTAghURoB1EUAAAQQQQAABBBBAAAEEEEAg+gLUEAEEEEAAAQQQQACBhAIE0BOykIgAAggUqwDlRgABBBBAAAEEEEAAAQQQQACB6AtQQwQQQAABBBBAAIFcCRBAz5Us20UAAQQQSF+ANRBAAAEEEEAAAQQQQAABBBBAIPoC1BABBBBAAAEEEChgAQLoBXxwKBoCCCCAQHEJUFoEEEAAAQQQQAABBBBAAAEEEIi+ADVEAAEEEEAAgWgLEECP9vGldggggAACCKQqQD4EEEAAAQQQQAABBBBAAAEEEIi+ADVEAAEEEEAAgQoECKBXAMRiBBBAAAEEECgGAcqIAAIIIIAAAggggAACCCCAAALRF6CGCCCAAAII5F6AAHrujdkDAggggAACCCBQvgBLEUAAAQQQQAABBBBAAAEEEEAg+gLUEAEEEECgKAQIoBfFYaKQiQSWLFli7733nu22225WvXp18zzPVl11VTvooINs+PDhtmzZskSrkYYAAggggAACWRZgcwgggAACCCCAAAIIIIAAAgggEH0BaogAAgiUikC1Uqko9YyWwOzZs619+/a277772gcffGBLly51FVy8eLG9+eabtueee9rpp59u8+bNc+m8IIAAAggggAACSQRIRgABBBBAAAEEEEAAAQQQQACB6AtQQwQQQCBlAQLoKVORsVAEFDw/6qij7Pnnny+3SH379rWLL77YFFQvNyMLEUAAAQQQQACBohWg4AgggAACCCCAAAIIIIAAAgggEH0BaogAAvkUIICeT232VWmBf/75xy6//HJ79913U9rWI488YkOHDk0pL5kQQAABBBBAAAEE8izA7hBAAAEEEEAAAQQQQAABBBBAIPoC1BCBIhMggF5kB6zUiztkyBDr06ePtWnTxgYNGmS//fabTZw40R5++GGrX79+GR517f7UU0/ZsmXLyiwjAQEEEEAAAQQQQACBygiwLgIIIIAAAggggAACCCCAAAIIRF+AGpaeAAH00jvmRVvjBQsWWM+ePe2EE06w999/34488khr3LixNW3a1Dp27GijR4+2li1blqnfN998Y7NmzSqTTgICCCCAAAIIIIAAAiUsQNURQAABBBBAAAEEEEAAAQQQQCD6AtQwAwEC6BmgsUrVCIwaNcq1Nr/++uutbt26ZQqxwQYb2HXXXVcmffr06bZw4cIy6SQggAACCCCAAAIIIIBAsQpQbgQQQAABBBBAAAEEEEAAAQQQiL5A1dSQAHrVuLPXDATWWmste+KJJ6x58+ZJ195tt92sSZMmcctr1Khh1apxqsehMIMAAggggAACCCCAAAJVJ8CeEUAAAQQQQAABBBBAAAEEEECgYAWyFlUs2BpSsMgIqHv2Lbfcstz6NGjQwFq0aBGXp1WrVrb66qvHpTGDAAIIIIAAAggggAACCCCQmQBrIYAAAggggAACCCCAAAIIIBBlgWpRrlwadcso69KlS03dgytom2xYsGCBLV68OKPts1L6AsuWLbMlS5bErbjHHntYrVq14tKYQQABBBBAAAEEEEAAAQQQKEkBKo0AAggggAACCCCAAAIIIFDAAn///betttpqliz2Wr9+fZsxY0ZOa0AAvRK86ha8Xr16NmvWrKSD8qyyyiqV2Esqq5LHF9Ab5qeffvJnrXHjxnbUUUfF5plAAAEEEEAAAQQQQAABBBBAoHgFKDkCCCCAAAIIIIAAAgggEG2BmjVr2ty5c5PGXufMmWMNGzbMKQIB9Ery1q5du9wt6CCXm4GFZlk0+OSTT2zq1KmxLV5wwQW28cYbx+aZQAABBBBAAAEEEEAAAQQQQACBKhJgtwgggAACCCCAAAIIIIBAFgSqV6+eha0k3wQB9OQ2LCkyAXWX379//1ip9913Xzv33HPN87xYWi4m2CYCCCCAAAIIIIAAAggggAACCERfgBoigAACCCCAAAIIIIBAaQgQQC+N41wStXz//fft9ddfd3Vt2bKlPfLII7b66qu7eV6SCrAAAQQQQAABBBBAAAEEEEAAAQSiL0ANEUAAAQQQQAABBBBAIEUBAugpQpGtsAX++OMPu/LKK23p0qWm4LkC6RtssEFhF5rSZUGATSCAAAIIIIAAAggggAACCCCAQPQFqCECCCCAAAIIIIAAAvkTIICeP2v2lCOBZcuW2d13322ffvppLHjeokWLHO2NzSKQRQE2hQACCCCAAAIIIIAAAggggAAC0ReghggggAACCCCAAAJFJUAAvagOF4VNJDBw4EC76aabrHXr1vb2228bwfNESqQhkH0BtogAAggggAACCCCAAAIIIIAAAtEXoIYIIIAAAggggECpCRBAL7UjHrH6jh8/3rp162bbbrutDR482JJ12/7yyy+74HrEqk91EEAgcwHWRAABBBBAAAEEEEAAAQQQQACB6AtQQwQQQAABBBBAIG0BAuhpk7FCoQjMnj3bOnbsaI0aNbJXXnnFmjZtmrBoynfHHXeY53kJl5OIAAIIFJ8AJUYAAQQQQAABBBBAAAEEEEAAgegLUEMEEEAAAQQQqAoBAuhVoc4+Ky2goPgZZ5xhS5cutUGDBrkgeqKNzps3zxQ8/+mnn2yjjTZKlIU0BBBAAIF8C7A/BBBAAAEEEEAAAQQQQAABBBCIvgA1RAABBBBAoEgFCKAX6YEr5WIvXrzYunTpYs8//7x988031qZNG2vWrFmZYb311rPVVlvNbrjhBtt4441t7bXXLmU26o4AAgggkCUBNoMAAggggAACCCCAAAIIIIAAAtEXoIYIIIAAAqUrQAC9dI99UdZcwfMbb7zRHnroIVf+GTNm2MSJExMOU6ZMcXn0ss0221i9evU0yYAAAggggEApC1B3BBBAAAEEEEAAAQQQQAABBBCIvgA1RAABBBCohAAB9ErgsWp+BZYtW2Z33XWXde/ePe0d77jjjmmvwwoIIIAAAgggUGgClAcBBBBAAAEEEEAAAQQQQAABBKIvQA0RQACBqhUggF61/uw9RQEFz3v37m3dunVLcY1/s9WuXds22WSTfxOYQgABBBBAAAEEqkKAfSKAAAIIIIAAAggggAACCCCAQPQFqCECCBS9AAH0oj+EpVGBqVOn2u23325Lly5Nu8KNGze2Zs2apb0eKyCAAAIIIIAAAgj8K8AUAggggAACCCCAAAIIIIAAAghEX4AaIoCAGQF0zoKiEFAQfPz48aaW6OkOP//8s6277rpFUU8KiQACCCCAAAIIIJATATaKAAIIIIAAAggggAACCCCAAALRF6CGCGRFgAB6VhjZCAIIIIAAAggggAACCCCQKwG2iwACCCCAAAIIIIAAAggggAAC0ReghoUiQAC9UI4E5UAAAQQQQAABBBBAAAEEoihAnRBAAAEEEEAAAQQQQAABBBBAIPoCEaohAfQIHUyqggACCCCAAAIIIIAAAgggkF0BtoYAAggggAACCCCAAAIIIIAAAtEXCNaQAHpQg2kEEEAAAQQQQAABBBBAAAEEoiNATRBAAAEEEEAAAQQQQAABBBBAIE2BIgygp1lDsiOAAAIIIIAAAggggAACCCCAQBEKUGQEEEAAAQQQQAABBBBAAAEE8i9AAD3f5uwPAQQQQAABBBBAAAEEEEAAAQSiL0ANEUAAAQQQQAABBBBAAAEEilKAAHpRHraqKzR7RgABBBBAAAEEEEAAAQQQQACB6AtQQwQQQAABBBBAAAEEEECgVAUIoJfqkS/NelNrBBBAAAEEEEAAAQQQQAABBBCIvgA1RAABBBBAAAEEEEAAAQQyFiCAnjEdKyKQbwH2hwACCCCAAAIIIIAAAggggAAC0ReghggggAACCCCAAAIIIFCVAgTQq1K/gPY9d+5c23333d3w8ssv26OPPsqQR4MJEyY4ex2DPn36RNM+j56cv7x/OQfKngNnnXWWu7Z07drVjTEqa4QJJqV+Dtx33312zjk0V1M9AAAQAElEQVTncI3gOwvnQMTOgYsvvtgd0/POO8+NS/1aR/35vI/KOeDfOzj99NML770dsetoVM4Z6sH1j3Mge+fApEmTCujOPkVBAAEEEMiFAAH0XKgW4TZXW201GzFihBvWWGMN69ixI0MeDWrXru3sdQweeugh7PNon+q5Tj6uCcV+DowZM8ZdW95++203Lvb6UH7ek5wD2T8H9IDNV199xTWC7yGcAxE7Bz744AN3TL/44gs35vqZ/esnpphWxTlw4YUXuvf0L7/84sZVUYao7pN68Z7mHOAcqOgcKMLb/xQZAQQQQCBNAQLoaYKVQvZly5aVQjULto5q/fX+++8bAwZZPAc4n3hP2YknnujOA7VE59zi+sI5wDmQ6BwYOHCgnXLKKe5akWg5aZw3nAPFeQ6odaqO3amnnsr7m++EnAMROgcGDx7sjmf79u3dWO9zhuK8Tmf5uHE+ROh9zrlRuO/pgr2xTMEQQAABBLImQAA9a5TFvaF58+bZRhtt5Ib58+dbq1atGPJosHDhQmevY7D++uvbrrvuyoAB50DsHOD9kI1rQqdOndw55Y+zsU22wbnJORCtc2D//fc3rhHROqa8RzmeOgf897U/VhoD5wbnQPGfA3vttRff7/mb0Z0D0Xo/F/97k+NRGsewadOmxj8EEEAAgWgLEECP9vFNuXZ169Y1dful4aCDDjJ19cswJm8OCprLXkOjRo1SPm5kRACBIhCgiAgggAACCCCAAAIIIIAAAgggEH0BaogAAggggAACkREggB6ZQ0lFEEAAAQQQyL4AW0QAAQQQQAABBBBAAAEEEEAAgegLUEMEEEAAAQQQ+FeAAPq/FkwhgAACCCCAQLQEqA0CCCCAAAIIIIAAAggggAACCERfgBoigAACCCCQVQEC6FnlZGMIIIAAAggggEC2BNgOAggggAACCCCAAAIIIIAAAghEX4AaIoAAAggUmgAB9EoekSVLlpS7hb///rvc5SxEAAEEEEAAAQQiKUClEEAAAQQQQAABBBBAAAEEEEAg+gLUEAEEEKgCgfnz5+d0rwTQK8k7Z84cq1mzptWqVSvhsHTpUtNQyd2wOgIIIIAAAggggEAeBdgVAggggAACCCCAAAIIIIAAAghEX4AaIoBA4Qmo8XKNGjUSxl0Vj1VcduHChbZs2TLL1T8C6JWUXWONNUytzHWgEg21a9e2atVgriQzqyOAAAIIIIAAAgikLkBOBBBAAAEEEEAAAQQQQAABBBCIvgA1RCCSAtWrV7d//vnHEsVdlaa4bMOGDc3zvJzVn8huzmjZcL4EFi9ebBMmTLBXXnnF3nrrLZsyZYrp6ZR87Z/9IIAAAggggAACCGRTgG0hgAACCCCAAAIIIIAAAggggED0BaghAoUrQAC9cI8NJatA4Pvvv7d27drZqquuahtssIEdccQRduCBB9p6661n9erVs9tvv90WLFhQwVZYjAACCCBQlQKff/651a1b1z0t6HleyuPVVlvNWrVqZWeffbZ7eEoPU+WyHr17905aNj3Alct9s+0VAvPmzbNjjjkm6XHQdwE9RLcid35edew9r/zzdrPNNrNp06alXaBff/3VmjZtmrS+nrdivypD2hvP0wqzZ8+2Tp06mZ4aXmeddeyZZ57JaddaeapWxbshR8EK3HrrrRW+pzxvxXvL8yoeh687o0ePth122MH1QLbzzjvbDz/8ULAWpVAwfTe47rrrrE6dOm7o0aOHKS2KdS/Ez8hkzupi8bvvvnOfD02aNIm9J/VZ0bJlS+vatat77yjf3Llzba+99jK9d5Ntj3QEEEAAAQQQQAABBKpMgB1HWoAAeqQPbzQrp9bl99xzj22++eb24osvJqykAueXXXaZnXrqqaY/uhNmIhEBBBBAoMoF/u///s9dp3/88UfbfffdE5ZHP4Wi6/7EiRNt3Lhx1rdvX2vUqJHpQao+ffq4h6dWX331nD44dd5559mYMWOscePGVmz/dANagUv/JrUePGvWrJntvffeNnLkSNdri59HN6/79+9fkFXUgxbPPfec677pwQcfdDfcq7qghx9+uCvPl19+aW3atElYnLFjx9qQIUMSLisv8bXXXrPJkycnzKLvQNqnurJSGRJmquJEle3yyy83HaulS5fajBkz7JRTTrGPPvqoikvG7isSyGS5fw0p9OuMAnOLFi2ywYMH2/rrr5+wqhtttJF7z/7222+mQZ87AwcOdA9sNWjQIOE6Spw0aZIdd9xx9umnn7oHRXSu65zXgyRazpB/gZ49e9o111zjHqrW34eXXnqpvfDCC/kvSB72WIifkYmq/eeff7r3SevWre2JJ54wfb/SgyZ6r+nz8sQTT7RevXrZpptu6h6K1/eVYcOGJdoUaQgggAACCCCAAAIIIFBJAVYvX4AAevk+LC0wAd2cU8uBiy++2Lbaais788wz7dhjj7VkN7N0o/3VV18tsFpQHAQQQACBoIDnedaiRQu76aabrEaNGsFFbnrbbbe1k08+2bXGVWs/PRylluv77ruvW64X3RjXg1PqmSRXwQrdzFXQWfsrpuHOO++09u3bu0CQyq3Wd3oYYejQobbrrrva2muvbeuuu67LowcEdtllF2Ur2EFBfgWNkwW/8l1wlUfBc/V843lewt3roQ+dowkXJkjUOfzkk08mfUjg5ptvNu1T+06wekEk/fHHH653iGBhFLgcPnx4MInpJAI6B/bbb7+iaXVZQNcZq+jfKqus4h68UuAuUd6OHTu6Fq+6HmrQ585//vMfe+CBB9x1VO8/PdgVXvfrr782BQCD6Ur76aefgklM50lALbLfeOONMntLlFYmUxEn6HOhkD4jg5S6rulvd/2Nrl4B3nvvPbviiitMrc71XtP42muvNT2Mou9zOoYzZ84MboJpBBBAAAEEEEAAAQQQQMAXyPmYAHrOidlBNgXU+uPhhx+2jz/+2NTySi0P1apOT6xfffXVCXelrk0VeE+4kEQEEEAAgYIR2Hjjjd3PcIQLpFZVCngE09Xi/Prrr3c/4xFMV6tCtTbLxXXf87yEAf7g/gttWt2A33XXXa5YujkddtQC3ZxW62BNn3baada8eXNNMqQpsMYaa1jt2rXdQwnhVdUCfdSoUeHkpPMffvih6dipy/pwJgUd1Mo3nF5o8+rpoGHDhmWKlegcLJOpxBN0/brjjjvs3XffLQoJnavFeJ1RTw6JgBWATJSuNL3H1YpdQXTNBwf9hFT4ITBtK5wWXKfsNCnZEqhZs2bCh6y5BmVLOL3thK9rCqTr5w4SbUWfHY8++qgFH5RMlI80BBBAAAEEEEAAAQQQQCCXArkNoOey5Gy75ASmT59u9957r6lF1vbbbx9Xf93M+u9//2s77rhjXLpm1P2pnl7XNAMCCCCAQHQEWrVq5XojCddIXYKGWwGG85TKvB44mzZtmj3//POu5aQ+D19++WXT56g+O4MOanWpLrc9L3Er6mBeppMLHHXUURYOcKvltbrGVwAh+Zorlqjr8379+tk+++yT8PxekavwX/VAwVlnnRVXULUulE9cIjNlBPTAqHrkKLOgQBNK7TrjeZ7rzj38d4d+kuSII46IO0rq/SNZoD4uY1RmCqgeenChU6dOFgyYN2jQwMLXpQIqcqSLogfe9f3Mr6S+w3le8u8belBSD87rJxX8dRgjgAACCCCAAAIIIIAAAvkUIIBejjaLCktg6dKl1q1bN0v2pLr+yE70lPpaa61ltWrVKqzKUBoEEEAAgUoLqLWfutYNb0i/rzlmzJhwcknOb7bZZq5L4bZt27r6K5Cgrl0/+eQTmz9/vimg6w+6Ua3W/i4jLxkLqCcF3zu4kUGDBpl+SzmYlmj6xx9/tGHDhpl+qkABoER5iiXtjDPOsM8++8y6dOlid999t5tO9J4tlvrko5x6b8pN33vzsb9s7KMUrzP6u0Pdugf99FCSHvRV99QXXHCB6Wek7r///rgAbjA/07kX0M8gfPfdd6aeyq677jrTdLK/JVUahtwJ6HvZhAkTYjuYM2dObDrZhHrE0U+3JVtOOgIIIIAAAggggAACCCCQS4Fqudw4265SgcjtvFGjRnbAAQeUW6/69euXWa5WdsV+A7pMpUhAAAEEEHDdqScL+CoICZHZ1ltvbQroqhthPPIj4HmenXjiiWV+XkA94rz22msVFkLddjdr1sx23nnnCvMWegbP80ytcm+77Tbr3LmzJfqeVuh1yGf59LDBoYcearNmzcrnbiu9r1K4zuiYPPLII7Zw4cKY16677mrhzyAF0Y8++mjr2bOn6Vhy7Y1xVdlEixYtrHv37va///3P9FMmVVaQ3O+4oPfw888/u4f2/ELqQZPx48f7s0nHeh+Fe3VJmpkFCCCAAAIIIIAAAggggEAWBaplcVtsCoEsCmS2Kd2cDq65zTbb2GmnnRZMYhoBBBBAoAQE1NK6BKpJFQtUoE2bNrb33nuXKZ1ap86ePbtMup+gZcpz0kknmVq4+umlPlYvCer+95VXXjG15FcgZsmSJWVYgvmUV+sorUzGPCUo2Dp06FD3EwpvvfWW6fgm2/WoUaOsXbt29vvvvyfLQnoVCuihLJ17+okFvxh6OGmLLbawXATJFy9e7Hps0M9v6FzWT3H4+63KcaGWqypN2HdqAnoIJZhT76m2bdu6XgFWpCd+bd68uemnP6riM1Hn+7fffhu7hv/xxx8JCxnMp2v+3LlzE+bLd6LKpQezCu06km8H9ocAAggggAACCCCAQKYCBNAzlWO9ghP46aef3B+3fsHUnfvrr79u66yzjp+UvzF7QgABBBDIuYACGfPmzUu4H3UpnHDBysQFCxbYU089ZTvuuKMLfnie51oMH3bYYfbxxx/HtZJauUraI+1DNy133313t23P88zzVgzqxvqiiy4yfXalumF1d9qjRw9r06ZNbHurrbaaHXTQQaaWzYkCitq20t955x1T3ZTf81aUwfM89xmpB80+//zzlOvsl2OrrbaKs1M9FejRDVvtt7LDlClT7JJLLrF1113XuansZ555pk2aNCmjTet45PqY+wVTK9QOHTr4s7Gxuuf+8MMPY/PhCS379ddfba+99govSnv++++/N/3+r1rued6KY96wYUP3YKG6MU4UWB48eLCz9rwV+T0vfqxAod+d7tdff+16N/C8f/NouQLFt956a9Lt6BzxK6Nt6Hua5/27Dc9bMa0u7JVP3dm3bNnSVI8jjjjC1G22WpTqIUl1Caw8GkaPHu16XPDzKa+m99xzTxs3bpyyJB1kofd9+/btTeeZ560og4Kjjz/+uOncCa6sOnjeijyeFz9W3fUeuP32212Lez1Iccwxx9iBBx5oDRo0cN3Zh7f35ZdfugcuJk6cGNyNm7788stjljovwoEZbStq15ng8dA563krjHU8dU1I5OSwcvjyxRdf2F9//RW3B7VmfvbZZ61OnTruPet5K8rpef+Oda3Xxg1teAAAEABJREFUtcxfUddatVr3vH/zeN6KaZ3zqvszzzxj+gkq9aKlc0fnsnriOvbYY00/UeJvKzyuzLmQy3L55dRnkT6r9Jnlv890zdBniT7b9Nni5w2PVbd0rt8VvUf97U+fPt30Pve8FcfA8/4d++83HZP33nvPdM3xPM9di3SMlO5vR2OVMZvvRW2zvEHnld4P2fiM1LHJ5veEROXefPPNyySPGjXKWrdubeecc46pPmUyLE/wPM/uuece93m2fDbhf507OoeCx1LnmL7f6LMwvFLv3r1j11XP+/eYe55nOnf8a7jeq9qm3oe6hut9qZ/Y8L97yq1v377ugbctttjClE/XfAX7u3btWuazI1iOypwvuXy/qk65PheCDkwjgAACCCCAAAIIIFDIAtUKuXCUDYFUBXRj9Pjjj4/94V2tWjXTjXzd0Ep1G+T7V4ApBBBAoBgEFMwYn6D7z1atWtm2226btAq6Ybvlllu6brZ/+OEHF0hXS9VevXrZG2+8YTvttJO7maubm5bhP38fupmqANBXX31l2ofS99hjD9PvgOqGsAKDXbp0Kfcmq25mPvrooy6gcumll9qmm25qaoGrlqqHHHKIvfnmmy44rgB5uIWrgs36PNx///1NvbQoGKlyqN763JwxY4bp5u92221nxx13XLnBGQULFDRYf/31TeXQDWZ1N67t6Wa0ApAK9OjhhU8//TRDOXOBfHXtqsDTnXfeaQpwaGO6Yf3www+7+usGt9JSHeSe62MeLotuoutcDKbLsF+/fqaHP4Lpmlaalu2zzz4WXk/LUx3kdOGFF7ptPPjgg6YAso63visdfvjh7ngrYJHoeCuwpVaBCgyG96dzSOfXXXfd5RbJU+ehAkv6qRydy7/88ov7uR0FDmSuruhd5iQv2oaCJtdff33CHC+88ILJQ/sJZ1DwXe8vnR8KyqnLe6WF840YMcIUeEzWclB10ntB73ud3wrkyOqjjz5y70sFNRXIDD7sIke1CN5tt93CuzO9L+R/2WWXuelwhjvuuMNuuukmd577yzzPc4EXdXfvp/ljpenBEQ3qyljW/jIZy1AOUbnOTJ061bU29Y/HWWed5R6A0EMfurbomqDzqqLrpm+UjbE+C1588cWkm1KgTtdCvd88z0uaTwt0PHXOnnzyyZqNG3R9UP30IIcCgnELl8/ouqiHYnSOLZ+N+1/ZcyFX5fILqc8EfXbpc0rXmPfff990rbrqqqtM71t9pqhFv1rL+uv4Y79u+mkMXcsUSNfnTnmf2XqP6kELPSTnbyfRWA/waP/apueVPXZ///236/5dD2arHNqG9n3CCSe4QKvmNWhZtt6L2l55g84TnQvZ+ozM5veE8sq9ySabuIf2EuV54IEHbL311nMPeOkhskR5kqXpe5v/vUTv1SFDhpiOvR720vcbfZ7qZ0T0XcrfxnnnnWf6TEh0DV+0aJFpebJruH7K4corrzSdG/qsU5Be+/W3rfHSpUtN+wxf67VMQ2XPl1y8X1WufJ0L2hcDAggggAACCCCAAALFIEAAvRiOEmVMKKCbB7rBqT9wwzdc9Efrtdde61oU6A/UhBsgMaoC1AsBBEpEQAFbtcIJV1etg9QiK5yuebUAVmDTD8ipdacCiQoYduzY0QXalE+BkP/+978JA51aXt6goL4CdtqHWpzeeOONpsCP9rH11lubWizqhq6/DQXUunXrFhdQ85fps06tqlQ2BU0U+FTQQDeL11xzTdNNVD+vWg9fc801pnVs+T8FBjt06GBq1ex5nqllrPKrHAp26iawWlQtz+r+64a8goXhG8FaqG2qRa0f2Fl11VWtT58+ttdee5m2J3PdSFZe1fuAAw4wWWs+3WHgwIGm/ai+/roKaqo+urGtY6PgmR5C8JeXN1Y5cn3ME+1f56DOrfAyHaexY8eGk01pCkbrGASDpGUylpMgoyOPPNJ0jiibAr+a1vH2gy1K0zIdb52nWkfz/qDW3Qpa+vP+eObMmQkDwgoe1qxZ06677jrTPvz8Otd1fvjzycZqgXrwwQe7VrzBPMOGDXMPauihAh13BTt0HIN51LWuurs/++yzrWfPnpYsn4J3ahkaXFfTqru6BlbgXPN62EDvIdVDgTe9d5Wu/Sggp+CC5jUo8KZgoKaDQ//+/U1lV0t8ncM63roOBPPovaNAoJ/Wpk0b935SINxP88dKU34NOu9r1arlFkXxOqM66QEjP1ituuvhCh0PXUMVZNP1RgC6bnbu3DnhOanl2Rz0IIceVCpvmzqPdY7o2lxePi1Tq1bVTdPBYejQoXbvvfeafsZB57IevNpoo42CWUxl+eCDD+LS5Kb3sq69Otd03spLVnofpvqZk+1y+YXUAy66Fqh8+uxQUFPnvB501kNXGiuvHgrTZ5YeMNC8hspcv5s2bep6rNB2yhs8z3OfZeFjp78n9cDQ/fff73rbCG5Dy15++WWXlC1/t7EUXrL5GalroMyz8T2hoqIrgK6HlcrLp3ND57x+ziJRy/Hwuno/6DrsP3Ci46VzTcdeD2XoOq519P3k7rvv1mRs0ENHWjeWsHLi5ptvdj+foPefjrPeb3pfrVzsRjonVEb1dqceRJLlu++++9xnu1tp5Uu2zpdsv1/zeS6spMjmiG0hgAACCCCAAAIIIJATAQLoOWFlo/kQUOsF3UjVH6b6ozXRPvX0uW4o6Q/VRMtJQ6DwBCgRAgikIqDWoGrlqcBuML+CX0oPpvnT6vpYrd1mzZrlkhSk3HXXXd20XjSvG6+a1qBW3wq8aTqdYcCAAabPKK2jfal1tloXa16DAm/hFvJPPPFEmZusyqsb5Qqua1qDWi1qfU0nGtQy2w8+KIinVpHKJycFnGSgeQ3qZlzBKk37gwIdulnsz/tjbTdYDnW5q25N/eWe57kuqmWoNNVbgc10P3/1ua2HGoKf6wpqqiVX/fr1bZVVVjFtV8FEzyvbWlD7Dg6qbz6OeXCfwemjjz7awjfeZZMomKu0DTfc0NSSOriNVKd1jsnOP+ZaT63G9aCFpjVoWmma1qC8Csoq0Kt5f5Cxgm/+vMZ6WEUPrWg6OCjor8CTvpMF0ys7rZv5CmyrLDruCnaorOHt6nzVe1UPmZSXb/jw4bGHS/xtqEcDGfjzuh7ogQB/XsFH7VfzesBB+TVd3qBWjmoRKWe9H/QwiXqKCK6j96iC8sG0dKejdp3Re1Wt7P1rpzz0MIiOqaY1NG/e3HbZZRdNuuGhhx4yBcx0fXMJWXzRcVTAVw/v6LqbxU0n3ZR6VdE5r5bWqreuszqvgyvo2jhy5MhgkmXzXIjb8MqZTMul1ceNG2f6TJ4/f75m3U8VqMcTN5PgRe8LXWu0SOdEVV6/1Upe1zw97KIyqTcXlcsfFKTVdK79tQ9/yPZnZDa/J/hlTDb2PC/Wmj9ZHj9dD9HoQUMFqYMPLvnLNVa6zg+9JzTfqFEj9/C8pjWoG/UddthBk27QtSKV1u36zFYrdr3/PM9z1xw9aOU2svJFD7jooS59/ulhEM9LnE8/uRD8qRGtnuvzJdP3az7PBTkwBAWYRgABBBBAAAEEEChUAQLohXpkKFeFAnqKXV2F6kaLfg8z2Qq6Eacbnrm4uZZsn6QjULICVByBHAiom0x166tgrG6qqnXs5ptvHgtSa5dqVaubfwqgK/CgtPCgm+H6XUc/XS2EFZDx5zVWF6Iaa9AN0qefflqTaQ3qaji4glr/6bPIT/M8zxRY8+c11k1WBRo07Q8Ksqk+/s1hraMAn79cY/8GvqY1qHWqWkJqOnzTVnVXt9Ra5g9+Xn9en5WjR4/2Z91YN4lvuOEG88uhRH0G6yazpv1BljL151Vn3bDWNv20isYvvfSS6eGIYD4F1YJBTS1T4F9BW02XN+TrmCcrg3rI8VvABfPoQQW16PbT1B24AmcKFuumv5+ezlgtCBVIDq6jHgeC85oOp6knArV81TJ/ULkVuPDnNdZxVBk11rwGBbn1nlRL++Cx17LKDgpe630e3I4eHvFbq/rpeu8Hg6pKT5RPP2GgLqO1XIPM9f1Q0/4QttE5Hjz31GpfrWT9/InGCniqxbS/zPM8UyDGn/fHen/405mMo3adGTRokL399tsxCj3go+tMLGH5hK6B4YeP1DNG2GJ51kr914Mo2pd6Y1Cr90ptLI2V1Ro7GPDTquoWXOPgEG6ZG65/pp85wX0EpzMtl64VenBLf6/529N7TMfWn19jjTVMD0f583KvV6+em63q67cKcckll5iuyRpUF10TlK7eYNR1t6Zz7a99+EO2PyOz9T3BL19FYznq/EzUA0OidfX5ss0227iedMLLdc3Qg01+ut6va6+9tj/rxk2aNHFjvegzQD2DaLq8QQ8/qZzBPOrFJTivad1/UNBe0/6QKF/4Wp/r8yXT92u+zwXfjHEEBKgCAggggAACCCAQYQEC6BE+uKVQNc/zTDdX1UJPgXQ9AZ6o3mrZp9+rS7SMNAQQQMAXYFyYAgr66qakArQK6qnVod9iVq1D1X2munlVUNXzErdK1o38cPBPwWMN5dVa21ZrnvLyhJcpoBdMU7BAge1gWqJptSAOpqtlkz7b/LS11lrLggF+pat1tlppaVoPDqi7Y+XTvAKQnvevh5ary08tK2/wbf08auEbbomvOnnev9tWXtUxfNNZN7hT/fxVa0O1wta2/EH7CQfR/GUVjfN5zJOVReVX97jh5WrNqJaNfrpauym4e+ihh/pJaY1VVwXP9dBHcEXtPzivaQWrPO/fY6cHI5566qm41tme55mCQ+FgtQKcwQc9FLRXiz61tNe2i2mQfzD4orLrPaJxskF11ZBseT7To3Sd0Xs//DCDAqnq7jtsql4Ugml6oOHVV18NJlV6Wq1a1eq4b9++luxvi0rvJIsbyNa5kMUiuU3pvaIutt3Myhf93bZy0o2aNWtmwda9+jkQPXSka1q+PrNdQRK86PM22NOKHm6YMmWK6eEbde/tPyiTL3+9T7L5GakqZ+t7graV6qDvbXo4UZ87+jyqaD29x3WOBB+uS2Sh73Oe9+9nW6LtJuqJJFG+XKbl63xJtw5VcS6kW0byI5ALAbaJAAIIIIAAAgiUJ0AAvTwdlhWVgG7IqKWCWm+FC65WfKnewA+vyzwCCCBQJAKRLaaCxOq2NNx9qiqsltv6KY9w0FfLgoO6zf7mm2+CSTZnzhxT4EU3pP1BLYMUuPEzKgCgVrb+fCpjdferbn8VyFbLqf79+9uGG26YyqqxPAoevPnmm7F5TSiYFA6IqgW6Woyrhb7qowcMlFfDvvvua9dee60LuqtF8eOPP2477bSTFqU1qOV6eAU90BBOUwA93PprwoQJFm7VFF7Pn9cx/vrrr/1ZN1Z9gy2AXWKKL/k85uUVSV2b+w85+Pl0fPv162d6aGLBggWmQJ2Olx4S8fOkM1YvAXqIJLiOgt9qiR1M07RafMpV0/6gdbUNf15jtbAM/gNW/e8AABAASURBVKSB0tSCT63nNa06KMC1zz77WLh+Wl7ogwLo4TLqe6R/LdBY3bsHrXSsdJ6G16uK+ShdZ2Qafu/rPE10/iqoGfZWUGzhwoXh5Izndc3RNe7UU0+1zz77zG666aaMt5WPFbNxLuSinKNGjTJ9NgW3HQ6Y6vP23nvvNfXIoYfV7r//fvdTHYVw/VZAVkOw/Pqc03kZTM+Xf6L3ia5POl+DZUxnWp872fiekM4+lVd+xx9/vDs/evbsaeHvDsoTHPTgwi233OI+M5Wuv+3DPTHoXNNDe7p2+4O+Iyq/P+g7iYLv/nxVjPN1vqRbt6o6F9ItJ/kRQCBOgBkEEEAAAQQQyLEAAfQcA7P5/AqoZZ1uwugPwOCedcNTf1QH05hGAAEEECgkgfLL0qBBA1NXvQoKhnOqC+qXX345nBw3r+CKbrgGE3WDXt3BqytRf1DXvQpq+vl0U1+tzfz5VMZqha2g/owZM+yLL74wPQCg9bSdBx980AUbFcxWWrJBN3iDra2S5VO6Ws2q+2zd2Ne8Pyj96quvNgU9tS11s+15numBAHVFvfPOO5vq6+dPNJbbzz//nGhRSmkKsqa6vgK4eggguGEFBnTsg2mpTqvs+Trm5ZVJx0b24TyDBw82tYBWkGnkyJGmPJ5Xfuu58Db8eZ1rlfmeo3W1DX97Gut80o1+TQeHJ5980p1DaomuALOCIAqCBfMUw/SkSZPKFPO2224z/1qgseofDtKEu+Mts5E8JUTpOqNrlK61mdLpXNQ1M9P1y1tPgb4LLrggdh0vL29VLcvGuZCLsuv6lup2dZ3X9d7PXyjXb7885Y3z5Z/tz0jVKRvfE7SdTAc9AKD3l64B6q69VatWSTel5f71V9eL8PcFXat1zda12x90TQ9usBAC6Pk6X4L1TmW6qs+FVMpIHgQQiJoA9UEAAQQQQKDwBQigF/4xooRpCuiP0ksvvdQ879+b0J7nmf5AT3NTZEcAAQQQKCABdZ+qrnXDRVIX1J06dbJgd+fhPAqk6oZrMF3BeLUuVJA32aButfWbrcH1Ek4nSdQDXAqW66Zwo0aN7H//+5+dfvrpdthhhyVZY0WygkG60btibsXrkiVLTMOKufRetZ5aDitorkCFWlbusssuphvX5W1JDxPIoLw8FS3TgwoV5dFyHR/tT9PZGKrqmCcqu7o4l3twmVz0IIN6KFAvOjo2weXpTM+fP98UcEpnnWBerattBNM0naj1vH7WQD016HzSg4vqbll5i2nQOa2ATbjMauGY7Frgp3ft2jW8WpXPF/t1RuWXb6aQul5W1AtJptvWegrs6kERTRf6IMtMPnNyUS8FNMPbTfU4FdL1O1yH8uZz6Z/tz8hwPTL9nhDeTqJ5fcboIUg9MJZouYK3bdu2NfUUpFbk6jUnnE+tyf0ebXR+hD+z9HMA6nFO15Jkw/jx461x48bhTVfZfC7Pl8pUKpfnQmXKxboIIIBAQQlQGAQQQACBkhCoVhK1pJIlJ6Auc4Pd5aobyCZNmpScAxVGAAEEoiTgeZ6de+65lqgrd/1GZufOnV3L2ER1Vper+iwILtPvRevmZTAtW9MKEqhHFAXNFaxWIKF79+6mm7eXXXaZ6TdA092Xbh6rG9N01tNNZP0G7UYbbeSC9vo9+VNOOcV1m9qjRw/zPxuTbVMtixUkTbY8lfRw4DiVdbKRJ9/HvLwy6wGKgw46qEyWW2+91dQrgX5+Rg8AlsmQYoIeBlGL8RSzl8mmdbWN8IJEref1vlGXuwrSqdW88oTXK/R5ndOJzv1wi8ZCr0dUrjN6yNXz/n3wNV13BbgVgEt3vXTyb7vttlavXr10Vslr3lycC7moQKqt0gvp+p2KQ7H4J6pLZb8nJNpmOE0Px+mhKz00Fl4WnFePD0ceeaTpZ0X0AFdwmab9Fug6P8KfWfpsytV3Ou07m0Ohni/5OBey6ci2EEAAAQQyF2BNBBBAAIHUBAigp+ZEriIT0I3R9ddfP1bq7bff3jL9XdHYRphAAAEEEKhyAQUZ1YopfONUBVN30gpG6gag5oODgisKsgTTdENXAe1gWjam1UX6CSec4Fp3+wE5BffV+lyBolT2oYCmbhAH8+rG8A8//BBMKndaN2i7dOliav3st2ZXy/cHHnjAwr9Dm2xDKkeilmDJ8ofTPc+zVNfXbxuHj2uKN8TDu3Xz+TzmboflvOhBBD1I4XnxQcK///7bFIA+9NBDy1m74kVrr7226WGNinMmzqF1tY1ES3X+hB+CGDBggCmQoWWJ1imGNF1LwuXUgy66LoTTC3E+StcZPcwQfsApHXN9xw9f39NZP5W8G2ywgbVs2TKuh6tU1stHnmycC7ko56abblpms/pZk1TeY4V0/S5TiVBCvvyz/RmpamTje4K2k+qg72nyqii/HjLU97nw55L/WaTvCrVq1YrbjB6kVAv0uMQCnFH9K/sdMRfVyve5kIs6sE0EEEAAgZIRoKIIIIBA3gQIoOeNmh1VVkABEf3G4fvvv2/qqjHV7XmeZ/qN21SDFqlul3wIIIAAAlUjoK7cr7nmmoQ779atm73zzjtllumm62abbVYmXXn1+VJmQYYJCgzod8Wff/752Ba07zPOOCOtwItaOipgE9vIyolXX33VtI+Vs+WO1EpYrcz9TJ7n2XnnnZf2T5rst99+/iZiY3XvGZtZOaGbr+oae+WsG6lL1UTubmHoJVEQVzea9buvoawpzco90b6zfcxTKszyTOqiXefu8sm4/23btjUFAOMS05xZc801Lbxtndf6eYPwpvQghh5MCKZrXW0jmOZPJ2s9rxb1WubnK7Zxoq7n9ZMO06ZNK/iq6BoQpeuMHnrdcsst49x1jdEQl7h8xn8oaflk7P8ee+xh4WBabGGWJvRA05133ml6SDdLm8zKZrJ1LmSlMKGNbLHFFqEUM/WCMnHixDLp4YRCu36Hy+fP59M/25+RqkO2vidoW6kMaln+4YcfppLVdbWunzfxM+tBtNatW7tZWahnHTez8kXH4oMPPlg5V5gjlTEb1+5c1C7f50Iu6sA2EUAAAQQQKA4BSokAAsUkQAC9mI5WCZdVN4GvvfZaU7fs6rpXgQW1qtNN4EQs+l3Rn376yS1Sq66DDz7YTfOCAAIIIFD8Ap7n2dlnn2377rtvmcooYKggcbhluW68Jmot++yzz7quQstsaHmCgredOnUy/d7z8tmU/qtVrrYZzKzW3smCk8F8wWmVd//99w8muenBgwdbKl3gqiXWo48+6tbxX/QgWbg1l7+svPFOO+1k/k1rP59a6vrT/li/carfJfXnNdZvmqrVnKYrGtQSW0HmYD59zidqda/AmoZg3vC0DPNxzMP7TTavFs/qqj24fNVVV7UTTzwxrYcrguv7057nmVq0Vav271d72U2dOtXPEhuHf0dX62hdz4tvHe+vIMdw63nP80xpWmZ+xiIb77LLLmV+wkDXDXVNr++d4eooTT/L8Nhjj4UX5W1ex1Q/5RC164xaj7dv3z7OUedpoocZJk2aFJdvrbXWcj9PEZdYQjPZOhdyQaaHItS7QHDbkydPtvBnZHC5P61rSyFdv/1yhcf59M/2Z2Q2vyeEXZLN6zp60003Jf25neB6yhv8nP+///s/0zmlPOqxQn/jazo49OnTx8aNGxdMik3r+q6HGcPfU2IZ8jCRz/MlnepUxbmQTvnIiwACCCCAAAIFJEBRECgxgX/vspVYxalucQnoD90nn3wyrtB33HGHnXLKKQn/AB86dKjpBo1u+Otmp4IGcSszgwACCCBQ1AIKRuomrFqphSuiG5Q33nijqUV0cJkC0vpJj2Da/PnzXTA+fMNV82p5rYC8uu0NrlPetB7eUoArmEe9pujBLj9N5UrUitJf7o8POOCAMgE+bUetl8ItvbWObja/8cYbNnLkSNONYtVB6f6g4JuCUv688ofL6i8LjtXysnv37qZAq5/+yy+/2F9//eXPuvHPP/9swe5T5XbxxRenHBxWwOTcc881BZXdBle+qDW/zFbOmsr91FNPuc95P01j3WjXoGl/yMcx9/flj4Nl9dP8sW74BwNKemDADwj4eTId77XXXtaxY8e41b/++uu4ec2oBajG/qB1tK4/n2iscqqVur9M00rz54txrFb/p512moXLfu2119rLL7/szjN/md47l1xyifXu3dv22WcfPzkvY32f1Y503uuad91117nu88Pv3WK/zhx//PFxD0Xp2qzrmOruD2q9+emnn/qzbqwHaoOtVF1iCb1k8zMn22x6jyUKgt9yyy1JH1xTDyFXX3216VpeFddvS/NfPv2z/Rmp91e2viekwzZixAjT3/HlfVZqe3p4Tl3+a1rfP6644grTdz/Na9ADaY0bN9ZkbNB3kwsuuMDC10ddN/bcc0/bZJNNLJMHCWM7qOREPs+XdIpaVedCOmUkLwIIIIAAAgggkA0BtoFAugIE0NMVI3+VCKhbxkR/7Oqm+lFHHWV+axTdXHzzzTdNfzirZaJuwiTqArdKKsFOEUAAAQTKFVBwWEGgcCa1QkwUMFYwXF22h/Nr/qGHHrJHHnlEk7FBrcD1UFU46P7VV1/Zxhtv7AJj+skPBRPV44lu1N5+++2m32LVRvQZowCOpoND8CawWkXpJndwuW7k6max6qDPKwUUBg0aFMziprUdDQocKEFluOqqqzQZN7z22muutbG25S9QgO/WW281BdcVoFU51PLdX66xyq8AnB5KUwBfLfVvu+02LYobtH/VU4O/oG3btnbDDTf4sy74MWrUqNi8tq3PX38dGevBt3Q/g3fbbTc755xzYtvVhKy0b9VR3bmr3HKpWbOmFscGBRr1m6nqOcBPrOwx97eTynjGjBmmMr733ntxwdfgugooydJP07mg1rf+fHisOoXTFFhMlK7zVIGpvffeO7aK7GTmJ2j67bff9mddwDJ4jscWhCb0XlCwwk/WtNL8+WIce55nl156qTMIll/d2+sYqft/PVxw3HHHmc4jtTzv16+fpXtOB7dd0bT2Gc7zwAMPuJ8iOvbYY+2FF14wPZSi3wdeeZ0x/1+xX2d0PqmuevDGr9OAAQPiHoQaN26ce0DIX37mmWc6D89L3HuCny/ZWNfBRMsSvb8S5SuENF3rs3UuZLs+nue54xM8ptqHPusVHO/fv3/s+OrzUdevDh06uB4Fqlev7t53lfnM1r4qM+haoGt6edvIt382PyNV9mx+TyjPKbxMn+kXXXSR6biHl2le1zM9HKPPO83ru8rhhx+uydjQokUL69WrV9zDfVqon7pRF++6jus73TbbbON+4kQPJer66XmZXS+07coOMi/E96vKVVXnQmVNWR8BBBBAAAEEECghAapaBQLVqmCf7BKBtAV0U+1///uf1alTp8y67777rum3E9VFrLp21w3G66+/3tQKT388l1mBBAQQQACBghJQ8FWtchT81U3TcOHUZbk+AxTEyFb0AAAQAElEQVQ8UV5/ued5rvW4Hpjy04JjBdfVGjuYppazb731lvvcCKarpfmQIUNMgfdhw4aZgmYKVunzx8+nFkyvv/66Pxsbq7Wqf5NdrYnVzWhs4coJdaeuQKk+r9TVuQJ3KxfFRurCWAFW/Q6zn6gA3jXXXOPPxsbap7al1uHNmjVzrbLuu+8+8wN8Sttrr71i+f0J1VHdwKpew4cPN92U9pf5Y1lruy+++KKfZApmXHbZZXbPPfe4BwoUWNCNafX4MmXKFHv44YdNAXytoIcRZCxrzaczeJ5nN998szuuwfXU6lbfAdRd83PPPee6AFbX8sE8mtZNeT1YEWx5rXKoPPJSHn9I5Zj7ecsb66EH/e6qzjedn/fff78pEKRgdXg9z/Ncl+1qZa8HHdQiPZxH8zpH1JV4+CEQLdOgIIDOU+1b8/6gwKoeLjzmmGNcks5ZPVSoXhnGjx9v//3vf01pWqg86kpZ54LmKxpUVpVZ360OOeSQcrPLQS0HdX6EM+p95b9ftEzTOtf8QInSNKic3377rSbdoG2+//77lmk+/RRD+LeXVXcZtGvXzu0j+KKfKdD7Vsv1HVPvHZ1Lfh5dqxSo8ef9sdK0zJ/XtNL8eX+sa5Pq7s9rrBaS4euZjrGuS7r26GEHBfCjc51Zx3TsVXcNCojpver3bqD3uq5HOnfHjBlj+kkNXW+UV9dQ/3qk+XQGvb90bqqlc6L1nnjiCXvmmWcs0QNdifIrTcfppZdesvA5pnntS+ev8mnQcdf7QNPBQee33qt+WrJ8o0ePNj0IpXzZPBeS7S+TcqlsGnS+6j0Uvv7q4QU9iKNroed5ps/HHj16mI558H2maZ0T4fVTuX7/+uuvceeXyqNB70e9LzWtQQ+N6e9JHSvN+4N+AkPngZb7aeFxNv3D204073nZ+4zM9veEROUNp6kluT5DlK7vLLq26nP7m2++Mb23df737NnTWrVqZbrm6vuEjo0+uzyvbOBb125dQ/T9QNv0B//9qGunHvbT9xf1IKIHzfw8eghR6/rz/lgPKQYfxNN1QGXwl/vjVPMFr/XZPF+y+X6tinPBd2SMAAIIIIAAAgggUCoCxVlPAujFedxKstS6casAy5VXXulaCgYR9EefniofOHCg6Te8zj//fHeDP5iHaQQQQACBwhP4/PPP3Y1ztVBTUDhZCXUTdMMNNzQFmHWT1c+nAJhaVavFs5/mj2fNmmW77rprLLDrpyvAqmCMWpTqZqZu6GpZ3bp17cADDzQFJp9++mkXlFa6Bt143XHHHU3b1HxwUNBa5VfQVuVRK8rwzX7l18+JqCW6bt6rlXU4j27sKviqgIHya1CaAkjqsjzcOkjL1epZN/0PO+ww1yq8TZs2Sja1cFKwbbvttnPzwRfVt3Pnzvbxxx/b6aef7oyCyzWtoL1uTGvaHxREv/DCC91NbgXLdYNarZ11A1ytwuWjYyhbGfvrpTuWkxx0HHQ8ZKBtKKivm+DqKl7d68tPQXwFZ/RwhbqUV5BK3b7quGodf1B5VK50jrm/bnljOSgApFaBukmvvArsqKtZBfsVPAqer1quYyS3tm3buvNZacHh1FNPNRloHA4W+/nUTa0ekNC+X3nlFT/ZjRVEV9BHwecOHTrY4MGDXbe1zZs3N+VVmpYpj/K6lVJ4kffuu+9ue+21l+l7V3mr6MEMPUgyYcKEMtn0ftliiy1MPUuo9wcF5fWTC+GMqrseklAwRa0U5aUWi8ny6T2qoOK2225rifLpvaKuvnXuB7chA51DeghC3zV1HdByvU90Hmm7em/ruCldg0zVKl2BRc0HB6Wp1yQF/VQ/BYWVFsyjab1XdL1Qb0ma16B59dyg96X2rzQNBx10kHvwQeXTvPJF9Tqj81RdPPvHQy2QlaZjp/ewAmk6r3R90/tEHukMes9qPb0H9T5KtK6u83qgSQ/mep5X5jMkts7KCQXY1KJa13Vdg1Ymu5HmTzjhBFNreSXonNA5r/eB5oODyqMupnXO6Vzeeuut3UNRwTya1rVGXVcrAJmtcyHb5VI5/UHvnU8++cT00I6fFh5r2Zdffmn+wxPB5Zlcv3Wt22ijjdznXHBbmtb7UeeU6uw7n3zyyaZjpeXBQddyXWf10FIw3Z/Olr+/vVTGOn+z8RmZi+8JFZVfD4XpM1HBXz3s/p///Mc9uKhrrb5L6PzXA2j6qQz1aqP3vKY9r2zwXPvyPM+OOOII0zVB720F3JWuQa2q9TCkPu+0zP8uoWX6XNFnmr4HaT446Pqj75s6P3Tt13kU7LnFz6t8/nc/Xcf1WZIoX/Ban63zRWXL5nWkKs4F35ExAggggAACCCCAAAKFLBALoBdyISkbAr6AbhbpKXUF0nWTwx/UMqVv376mIHrwj2N/PcYIIIAAAoUpoCCbgmP+9byisa73+iwI1kYB55kzZ7qb34nW79q1azC7m1aQTIFEteRT6zKtpyCIAmN77LGHeV78zVoFiJUn2aCWTLoBrI0rWKCbvrppqta/auWollRq8abfUdbnlG7I6satAurKowCebirrRrDnxe9bgWv9PrAeEFMrqE6dOrkA+aabbupafquVnB4ga9SokXYfG5o2beq6O9Y66gpVg1qxqhx33323yUBBQKWpBbmCP/osVV0UZNR+YxsLTGgdBbKDn8Vqka6byepiVfULZM9o0vM803HQ8dC25a6Aq26C60ECtVZUK1F12a7AiwLVSitvZ6pvOse8vG35y3RuqWzJhkTnq4IfqpcCg54Xf6y1XQXWkm0vUbrMtV5w8DzPFHDUAwM63v56mlaalnle2X0HtxGe1g12PViiQdPh5cH5ilz0EIR6QlCAUGXyy5dorIc2dOzUujfRcj9N71E9ZKEgnJ+WaKxWy8Gyalrn+i677GJ6uEXXAa2n64KuD+eee657oEH5/EEBbeVJNmhdfSetqH46t/UwiL9djfU+VpBJ2/C3r0CTjpmW+0OUrzOJjocs1LW6Wikr8OU7pDuu6NzUfsKD1ilvP7r2DB06NOlnkLana6y2UdE5obz+uayHgTSfaND5oXNT28z0XAh+5uSiXCqbP+i81uecHk5QYFQPiuhaommlaZk+s/z84bGuAelcv3VdTOTmp6kFvOqsa4ZaP/vpicayvuuuu8JFis1nwz+2sRQnPC87n5EyVwvpbH9PCFfDf4/oGGqZfp5N11F959DnZND9t99+M/18g66hqX6fSPS9RJ8t2k742qn963MluM/wtNbV+aHvdXrIIrzcn9cy5dF1XNdzPz081jLl0b6zcb6obCpjeD/B+XSvI/k6F2TAgAACCCCAAAIIIIBAsQhEJYBeLN6UEwEEEEAAAQRKQEA3+3UDX62cunfv7lrt6oZxsOp6EEABdeVREFiB4eDy8LRuJKsllrp51jL99qe6eFcgUvOJBn8dtQjWcPDBB8e1rNc62q+2o9aMavWscimdAQEECluA60xhH598li4X50Iuyq8WuAqMnnjiiaZW/ppWWgb7KqhVisU/ERrfExKp5DatUM8XzoXcHne2jgACCCCAAAIIIFB8AgTQC+KYUQgEEEAAAQQQQKBiAXV7qhZbas3Vv39/Uxfm6t5d6RWvTQ4EEECgYgFdT7jOVOxEDgQyF2BNBBBAAAEEEEAAAQQQQACBQhcggF7oR6gYykcZEUAAAQQQQCAvAp999pmpu1m1ElJX3w899JCpJd+xxx5rCnrlpRDsBAEEIi3AdSbSh5fKIVB5AbaAAAIIIIAAAggggAACCJSAAAH0EjjIVLF8AZYigAACCCBQLAK77767TZo0yfS7m/ptT8/zXNGHDRtmP/zwg5vmBQEEEKiMANeZyuixLgIIFLoA5UMAAQQQQAABBBBAAAEEUhEggJ6KEnkQKFwBSoYAAgggUKICTZo0serVq7va6/c069Wr56Z5QQABBLIlwHUmW5JsBwEEEMiKABtBAAEEEEAAAQQQQACBPAkQQK8k9OTJk61Ro0ZJh4ULF1ZyD6yOQJQFqBsCCCCAQCoCy5Yts6uvvto6depkannes2dP13X7P//841Y/6qijrFmzZm6aFwQQQCATAa4zmaixDgIIIIBA6gLkRAABBBBAAAEEEEAgNYG//vrL1l577aSxV8Vlp0yZktrGMsxFAD1DOH81tcqYOnWqJRtq1arlZ2WMAAJRE6A+CCCAQJ4EFi1aZDVr1rTBgwfb8ccfb507d3ZduW+55Zb2zDPP2D333GM1atTIU2nYDQIIRFGA60wUjyp1QgABBBDImgAbQgABBBBAAAEEEMibgHranDFjRtLYq2KyjRs3zml5CKDnlJeNI4AAAoUrQMkQQKB4BBQ8v/LKK23cuHGmVqIalixZYqNHj7Zjjz021pV78dSIkiKAQKEJcJ0ptCNCeRBAAAEEEMieAFtCAAEEEEAAAQQQSE+AAHp6XuRGAAEEECgMAUqBAAIIIIAAAggggAACCCCAAALRF6CGCCCAAAIIIIBA3gUIoOedvDB3OGfOHGvVqpUbvv32Wxs1ahRDHg30Ww2+//Dhw7HPo/0o9sX5ViXnwKi8u6ub71HL6+qPNc0wKu/HYdTyY8AwCvcCPQ9GjhzpfhJgVIGWj3KN4r3DuZnROeB/9vvjUThm5IjbKNwK7L3z6aefumPCe5tzc1SBnZuUZ5R7b46KHZdRzEfQYtKkSYV5k59SIYAAAghkTYAAetYoi3tD9evXt7Fjx7rhzz//tG222YYhjwb63Vrf/5JLLsE+j/ac67zXS+UcuPfee9215dZbb3XjStWb9yiGnAORPAcOPPBAu+eeeyJZN655fN6X8jnQo0cP976+++673biULag714IonQO77767e0/ff//9bhylulEX3qucAwV0DvC3X8JrbHFHAig9AggggEAqAgTQU1EqsTz6XdUSq3JBVfe8886zXr16MWDAOcA5kNVzYKONNnLb0422Ur/GUH8+YzgHEp8D1157rW222WbuWoFRYiNccCnGc2C77bZz7+vWrVu7cTHWgTLz3uMcKHsO6MFYuTRq1Ij3Nn87cg5wDnAOJDkHdJ3MxVBQN5MpDAIIIIBATgQIoOeElY0ikLlAhw4d7Pzzz2fAgHOAcyCr50C/fv3c9tS6lGtMUV9j3XHkGHIMc3EOqBecRx55hHOMzx/OgYidA/fdd587pg8//LAb5+L6wTb5XOIcyP850LlzZ/eeHjBggBtzDPJ/DDDHnHOgdM+Bpk2bZn7zN/U1yYkAAgggUIUCBNCrEL+Qdr1kyRKrU6eOG7bffnubP38+Qx4NGjRo4Ox1DBYuXFhIpwZlQQABBBBAIIsCbAoBBBBAAAEEEEAAAQQQQAABBKIvQA0RQACB4hYggF7cxy9rpa9evXosYF67dm1jyK/BKqusEvOvVatW1o4rG0IAAQQQQACBLAqwKQQQQAABBBBAAAEEEEAAAQQQiL4ANUQAgZIXIIBe8qcAAAgggAACCCCACad4pQAAEABJREFUAAKlIEAdEUAAAQQQQAABBBBAAAEEEEAg+gLUEAEEKi9AAL3yhmwBAQQQQAABBBBAAAEEcivA1hFAAAEEEEAAAQQQQAABBBBAIPoC1BCBghAggF4Qh4FCIIAAAggggAACCCCAQHQFqBkCCCCAAAIIIIAAAggggAACCERfgBpGRYAAelSOJPVAAAEEEEAAAQQQQAABBHIhwDYRQAABBBBAAAEEEEAAAQQQQCD6AtQwJkAAPUbBBAIIIIAAAggggAACCCCAQNQEqA8CCCCAAAIIIIAAAggggAACCERfIJs1JICeTU22hQACCCCAAAIIIIAAAggggED2BNgSAggggAACCCCAAAIIIIAAAgjkWaAKAuh5riG7QwABBBBAAAEEEEAAAQQQQACBKhBglwgggAACCCCAAAIIIIAAAggUnwAB9HSPGfkLXmDcuHG28cYbm+d5VrduXfv8888LvswUEAEEEEAAAQQQQAABBBBAoMAEKA4CCCCAAAIIIIAAAggggEBJChBAL7HDHvXqzp4928444wz75Zdfol5V6ocAAggggAACCCCAAAIIIIBAUgEWIIAAAggggAACCCCAAAIIZCZAAD0zN9aqGoFy97ps2TJ78MEH7d133y03HwsRQAABBBBAAAEEEEAAAQQQQKCgBSgcAggggAACCCCAAAIIIFBlAgTQq4yeHWdb4JVXXrFu3bple7NZ3B6bQgABBBBAAAEEEEAAAQQQQACB6AtQQwQQQAABBBBAAAEEEChmAQLoxXz0KHtMYPz48XbppZfa0qVLY2lMZFmAzSGAAAIIIIAAAggggAACCCCAQPQFqCECCCCAAAIIIIAAAiUuQAC9xE+AKFR/wYIFdv7551utWrWsQYMGxj8EEgmQhgACCCCAAAIIIIAAAggggAAC0ReghggggAACCCCAAAIIVFaAAHplBVm/SgX0u+e9evWyL7/80nr37m3169ev0vKwcwRyJMBmEUAAAQQQQAABBBBAAAEEEEAg+gLUEAEEEEAAAQQQQKAABAigF8BBoAiZC3zyySd2yy23WI8ePaxFixaZb4g1EUAghwJsGgEEEEAAAQQQQAABBBBAAAEEoi9ADRFAAAEEEEAAgWgIEECPxnEsyVpMnz7dOnbsaEceeaS1a9euJA2oNAII5EGAXSCAAAIIIIAAAggggAACCCCAQPQFqCECCCCAAAIIILBSgAD6SghGxSWwePFiu+qqq2zRokV27bXX2iqrrFJcFaC0CCCAQJ4E2A0CCCCAAAIIIIAAAggggAACCERfgBoigAACCCCAQPYECKBnz5It5VHg5Zdftv79+9vNN99sG2ywQR73zK4QQAABBPIowK4QQAABBBBAAAEEEEAAAQQQQCD6AtQQAQQQQACBghIggF5Qh4PCpCIwbtw4u+yyy+yUU05x3bensg55EEAAAQQQyL8Ae0QAAQQQQAABBBBAAAEEEEAAgegLUEMEEEAAgagJEECP2hGNeH3UdbuC56uuuqpdeeWVVqNGjYjXmOohgAACCCBQRQLsFgEEEEAAAQQQQAABBBBAAAEEoi9ADRFAAAEEyggQQC9DQkIhCzzzzDP24osvWs+ePa1p06aFXFTKhgACCCCAAAJVKMCuEUAAAQQQQAABBBBAAAEEEEAg+gLUEAEEEMiFAAH0XKiyzZwIqOv2a665xi6//HLbb7/9crIPNooAAggggAACCBSAAEVAAAEEEEAAAQQQQAABBBBAAIHoC1BDBBAoUAEC6AV6YChWvIC6br/ppptszTXXtIsuusg8z4vPwBwCCCCAAAIIIIBAgQhQDAQQQAABBBBAAAEEEEAAAQQQiL4ANUQgugIE0KN7bCNVs99//93efPNN+/TTT22ttdZyAXTP8+LG6623nk2YMCGu3vPnz7ftttvO5bv11lvjljGDAAIIIIAAAggggEAZARIQQAABBBBAAAEEEEAAAQQQQCD6AtQQgXIECKCXg5PKookTJ9q6666bdFi4cGEqmyEPAggggAACCCCAAAIIIFBpATaAAAIIIIAAAggggAACCCCAAALRF4hyDf/55x9bY401ksZe1dD2t99+yykBAfRK8q6//vo2bdq0pEOtWrUquQdWRwABBBBAAAEEEEAAAQRKQoBKIoAAAggggAACCCCAAAIIIIBA9AXKrWGNGjVs5syZSWOv6rVajZvL3UglFxJAryQgqyOAAAIIIIAAAggggAACCCBghgECCCCAAAIIIIAAAggggAACCORDoHr16jndTfkB9Jzumo0jkLpA48aNbfz48bZs2bKkg7praNasWdxG69SpY5999plbp2vXrnHLmEEAAQQQQAABBBBAAAEEEFgpwAgBBBBAAAEEEEAAAQQQQAABBJxApAPoroa8IIAAAggggAACCCCAAAIIIIBApAWoHAIIIIAAAggggAACCCCAAALZEiCAni3J7G+HLSKAAAIIIIAAAggggAACCCCAQPQFqCECCCCAAAIIIIAAAggggEABCRBAL6CDEa2iUBsEEEAAAQQQQAABBBBAAAEEEIi+ADVEAAEEEEAAAQQQQAABBKIlQAA9WseT2mRLgO0ggAACCCCAAAIIIIAAAggggED0BaghAggggAACCCCAAAIIIBASIIAeAmG2eAUaN25s48ePt2XLlsWGefPm2f/93/8Vb6UyLDmrIYAAAggggAACCCCAAAIIIIBA9AWoIQIIIIAAAggggAACCGRfgAB69k3ZIgIIVE6AtRFAAAEEEEAAAQQQQAABBBBAIPoC1BABBBBAAAEEEEAAgYIUIIBekIeFQiGAQPEKUHIEEEAAAQQQQAABBBBAAAEEEIi+ADVEAAEEEEAAAQQQiKoAAfSoHlnqhQACCGQiwDoIIIAAAggggAACCCCAAAIIIBB9AWqIAAIIIIAAAgggkFSAAHpSGhYggAACCBSbAOVFAAEEEEAAAQQQQAABBBBAAIHoC1BDBBBAAAEEEEAglwIE0HOpy7YRQAABBBBIXYCcCCCAAAIIIIAAAggggAACCCAQfQFqiAACCCCAAAIFLkAAvcAPEMVDAAEEEECgOAQoJQIIIIAAAggggAACCCCAAAIIRF+AGiKAAAIIIBB9AQLo0T/G1BABBBBAAAEEKhJgOQIIIIAAAggggAACCCCAAAIIRF+AGiKAAAIIIJCCAAH0FJDIggACCCCAAAIIFLIAZUMAAQQQQAABBBBAAAEEEEAAgegLUEMEEEAAgfwIEEDPjzN7QQABBBBAAAEEEEgsQCoCCCCAAAIIIIAAAggggAACCERfgBoigAACRSNAAL1oDlVuCzp37lzbfffd3TBgwAA755xzGPJoMHHiRGevYzB16tTcHmy2jgACCCCAAAJZFGBTCCCAAAIIIIAAAggggAACCCAQfQFqiAACpSRAAL2UjnY5dV1ttdVsxIgRblhvvfXsgQceYMijQa1atZy9jkGjRo3KOVIsQgABBBBAAAEEsijAphBAAAEEEEAAAQQQQAABBBBAIPoC1BABBNISIICeFheZEUAAAQQQQAABBBBAoFAEKAcCCCCAAAIIIIAAAggggAACCERfgBoikG8BAuj5Fi/Q/f3111+22267uWHatGl2yimnMOTRYMGCBc5ex4Au3Av0TUKxEEAAAQQQQACB7AqwNQQQQAABBBBAAAEEEEAAAQQQiL4ANSxCAQLoRXjQclHkevXq2fvvv++GY445xvr168eQR4NmzZo5ex0DunDPxRnONhFAAAEEEEAAAQSyK8DWEEAAAQQQQAABBBBAAAEEEEAg+gKlWUMC6KV53Kk1AggggAACCCCAAAIIIFC6AtQcAQQQQAABBBBAAAEEEEAAAQSiL5BhDQmgZwjHaggggAACCCCAAAIIIIAAAghUhQD7RAABBBBAAAEEEEAAAQQQQACB3AkUSgA9dzVkywgggAACCCCAAAIIIIAAAgggUCgClAMBBBBAAAEEEEAAAQQQQACBghYggJ6Vw8NGEEAAAQQQQAABBBBAAAEEEEAg+gLUEAEEEEAAAQQQQAABBBBAIOoCBNCjfoRTqR95EEAAAQQQQAABBBBAAAEEEEAg+gLUEAEEEEAAAQQQQAABBBBAoEIBAugVEpGh0AUoHwIIIIAAAggggAACCCCAAAIIRF+AGiKAAAIIIIAAAggggAAC+RAggJ4PZfaBQHIBliCAAAIIIIAAAggEBObNm2cdO3a0hg0bmud5FQ7Vq1e3pk2b2n777We33XabjRkzxpYsWRLYYsWTkyZNsj322MPWXXdde/755yteoUhzLFu2zMaNG2dXXXWVbbXVVvb5559XaU10nEaOHGnt27e3ddZZx6pVq+bGRx99tD333HOmc0EFHDBggJ111lmaZEAAAQSKWYCyI4AAAggggAACCCCAQJEIEEAvkgNFMcsKPPjggxXeUPU8z+VZY4017Jtvvim7EVIqKcDqCCCAAAIIIIBAdgXq1q1rjzzyiP35558umK2gqr8HTV9++eUuuKoA69NPP22XXHKJNWnSxIYMGWJdu3a1zTff3OrVq+em58yZ469a7vj++++3ESNG2PTp091606ZNKzd/sS3UQwUKStesWdM23HBDu/HGG+3nn3+u0mrMnj3bBc533XVXe+aZZ2zPPfe0J554wq699lr7/fff7dhjj7XVVlvNGjdubCeeeKILpusBAOMfAggggEAVCbBbBBBAAAEEEEAAAQRKR4AAeukc60jV9J9//rG333475TrtuOOOtvHGG6ecn4wlIkA1EUAAAQQQQKCgBfbZZx/bdtttY2Xcfffd7corrzQFgzWo5bJanX/88cc2d+5cF3ivX7++LViwwLVGV/D1qaeeqrBFerNmzcz/t/baa1utWrX82UiMFTTv1auXvf7661anTp0qr9PixYvtoosucg9INGjQwD744AP3UIQC5eeee64NHTrUJk6caPvuu69NnTrVli5dapMnT3ZB9CovPAVAAAEEEChOAUqNAAIIIIAAAggggEAaAgTQ08Aia+EIqFXQZ599lnKBDjvsMKtdu3bK+cmIQDEIUEYEEEAAAQSiLrDKKquYWqRbCv/0Xe/000+3X3/91dq1a+fWmD9/vmu9rJbpCtq6xAQvp5xyiql3oyuuuMIFdVdfffUEuYo3SQ8E6GGCnXbaybbffvsqr4gC5I8//rgrx/XXX2+77LKLmw6+qFv+F154wQXRla7u3Ms7hsrDgAACCCCAQFQFqBcCCCCAAAIIIIBAfgUIoOfXm71lSUDdUE6YMCGlren3M9V6JaXMZEIAgXwJsB8EEEAAAQRyIqDvfgMGDLAzzzwztv0ePXrYXXfdZcm6AFfw/ayzznJdmytwG1uRiZwIvPLKK65VudzVU1SynehBBnXn37JlS9e9/sKFC5NlJR0BBBBAAAEECleAkiGAAAIIIIAAAkUnQAC9EodMN+BmzZplNWrUMLWOCQ9KV1eSyleJ3bBqAn3JY70AABAASURBVAH9xuUGG2zgbozq5mh5g34nU91WJtgMSQgggECGAqyGAAIIIFDIAvpefvvtt5u6fPfL2a1bN3vnnXf8WcZVJKAg+M8//5zy3vWd/+qrr7Y5c+a4IHrKK5IRAQQQQAABBBDIigAbQQABBBBAAIF8C+in3KpXr54w9qp7Poq/qqe6XJaLAHoldD3Ps2rVqtk///xj6k4wPChdB9jzPONf9gT0UIJ+J1GB8T59+lhFQ5cuXSL3O5bZ02RLCCBQkgJUGgEEECgBAbVe/t///ue+r6u6+uPrxhtvNH2X1DxD1QjobyT/j9wFCxbYxx9/XGFB9t9/f9t0001t0aJFFeYlAwIIIIAAAggggEBAgEkEEEAAAQSKUECx1yVLliSMvSoWq3sL+rm6XFaNAHoldevXr1/uFtQtYbkZWJi2wMSJE91vW7Zu3TrtdVkBAQQQQKD4BagBAgggkKrAbrvtZgq++vmHDx9u77//vj/LuAoE9AfuWmutFdtz9+7d7auvvorNJ5pYZ511bLPNNrOpU6cmWkwaAggggAACCCCAQEQFqBYCCCCAAALJBNSAOdmybKRXy8ZG2AYC+RT44osvXBeOY8aMsbfeessmTZpES6J8HgD2hQACCCBQGQHWRQCBPAroYdaTTz45tkf9tNLrr78emw9OqFX0k08+af/5z39s2rRpwUVx09rG559/bp06dTI90Nm8eXOrU6eOtWzZ0q655hr3PTVuhdCMvrvq54fWXntta9q0qa222mrWsGFD22mnneyggw6yKVOmhNZIb1bl04MC2taqq65qnudZkyZNXNlmz56d0sbUMvz555935dl8881NAWw9OLzT8jK+8MILpqfAU9pQgkzqZm377bePLfn999+tXbt2pu/2scTQhOd59thjj9nhhx8eWhI/q3I//vjjtsUWW7h6e57nfOUt9/jc/86pPtr/RRddZEcffXTsb4s//vjDunbt6vz09LuO9b333uuegPfX1pPvr7zyivu5AHlrOOyww+y7777zsyQc6zhleh6pG/zBgwfbwQcfbD169HDbVx1eeukl22abbVzddSPhuOOOc38ruQxJXmSWq2OdZJckI4AAAggggAACpSJAPRFAAAEEiliAAHoRH7xSLLpuNOm3K2fNmmVnnXWWHXjggbb++utbvXr13M2x0047zXUDqRtIpehDnRFAAAEEEMitAFtHoPgEFEzVd0W/5F9++aX99ddfblbBT/00kAKRCmQr2K6HNdXdu8sQelGQ/fTTT3fBbgWBR48ebePGjTMFWvfcc0+77rrrbLvttrPx48eH1lwx+8knn9hWW21l6623nk2YMMEFN1WWp59+2r7//vtyg8grtlD+659//ukCwHvvvbftvPPOLhivugwbNsy+/vprt2/Vv7ytKJC87bbbusDxbbfd5gLB06dPN7n42z/nnHPigsjlbS/RsmOPPdYFpf1lv/zyi2299db26KOPZhyc98t911132cUXX2zPPfecXXHFFa7b94cffth1Af/aa6/5u3Rj7bd9+/amBy30oMA999xjCujrb4mnnnrKmjVrZtqezhP9HTJ++XG94IILXJrmf/jhB9thhx2sbdu2rocsbVR5tZ9dd93VdLyVFh4yPY/08LD+/qlbt64LniuIrm7rdFyOP/54V45Ro0a53em4P/vss7bPPvskPR99Mz0kkKtj7QrDCwIIIIAAAggggEARClBkBBBAoLQFCKCX9vEvutrr5mR5N6L69u3rbmjqhqFuaBVdBSkwAggggAACCOROgC2XpECjRo1Mrb39yitwPXfuXDer1sr9+vUzPZzpEsp5UcD0lltuMf/7poLAauWrVRSAvfLKK11Q+Mcff7TLL7/cFNjUMn9Q6+8LL7zQ1l13XTv33HNd0FbLPM9zD4X26tXLBaXVIljp6Q7avso0aNAgU+BUreHXXHNN1xq5RYsW9swzz9hRRx1Vbgt5fdc+9dRTbezYsdaxY0cXcPfLoW3oAQHNP/TQQ6aW6JrOZNhwww1NwWq16vbXV+BZ+9T3+Ipab/vr+GMFto888kjXClx/K2g7akl+4403moLZ2s/8+fOtQ4cO9u233/qruR4AdPw1eJ7n0hVAP+GEE+zdd991Xcv//fffpgcI9KBFgwYNXJ6ePXta//79XcD65ptvdkF6tXDXsbvppptcHp1TCr6Hz4PKnEc77rijqZeEE0880e1DL6r7IYcc4s4rlV3b14MBu+++uxabzsfbb7/dlO4SVr7k61iv3B0jBBBAAAEEEEAAAQTyK8DeEEAAgUoKEECvJCCr51dAN/NSCYx/+umnrvtC3TDLbwnZGwIIIIAAAgggkBsBtpqZgFrrqscif20FGX/77Tc3q0Brnz59XMtndaPuEpO8KOA4cOBAt1QtfhVYdTMrXxSkV5BZswriKr+m/UEtwNVltwLoKpOf7o/3339/22CDDWzmzJl+UspjBUfvuOMOF/RVkPyII44os+4qq6xi3bp1c0H+MgtXJqh1+meffebmpk6d6sbBF3VTr+7qlaZeoTTOdFC37S+++KLr/j64DX2PV9f4Wq6gdHBZomkFrc8//3xTgFz1Uz2D+XbbbTeTrdJ07O+///5YMFndrdesWdMF3tUrgPKoVfYpp5xiarWu4+l5KwLrCuz7gevJkyebWqLrYYqDDjrI/AcpNFbX/uqFQNv68MMPy/wcgM6LTM+j1Vdf3T0M0rZtW23eDSrnJZdcYgrq64EJJeoBBQXv/WM1ZMgQ10uClvlDPo+1v0/GCCCAAAIIIIAAAgggkJoAuRBAoOoFCKBX/TGgBGkIqOVHuBVHstV1E+2kk04y3RxKlod0BBBAAAEEEEAAgbwIFPRO1LJYXbiXV0gFZv2u4DXWfLL8an2sIHtwuQLj+h6rAHGwFbSfR4F1P9Drp6U61vbuvfde19pcXcwnK1swyJ9o2wrs++tW9EDBlClTbOHChYk2k1Ka53mmQL++q6s7/PBKCq4rkK6W83pAILzcnx82bJhrZb7TTju5n3by0/2xegdQl/b+/Kuvvmr+AxR+mgLfGjTftGlT22OPPZyl5v3B8zzXLb4/r7Kr+3Z/3h/r3NCDEJqfMWOGhR9EkK/yaLnGmtd0oiHReaR8wXXUdfsxxxxTprwbbbSRqVt65Z84caIp6K9pf8jnsfb3yRgBBBBAAAEEEEAAAQRKQoBKIhAJAQLokTiMpVEJ3XCsVauW+33EJk2amLpirKjmuul09dVXm1qmVJSX5QgggAACCCCAAALRF9D3Sb9lbuq1NVPrX3X53qVLF9NY88nWV2BZD3MGl6sreQVzla6ApwLpweWa7tq1a1y36UpLZXj++edN33sVhN9kk01SWSVhHgWhFbBWN+SqZ8JMKxPnzZtXppv6lYvSGqm8aqk9aNAg23jjjePWnTNnjrVv395UFnXxHrdw+YwC6yqvxgrC16hRY3lq2f9bbbVVLFGB5F9//TU2n85E/fr1K8yuMig4rYw61uFgvc4bnT+qk8aaV95EQ6LzKFG+RGkKsvvlWLJkSZljVRXHOlE5SUMAAQQQQAABBBBAAAEECkuA0iCwQoAA+goHXotAQDejOnfubKNGjTJ156gbQQqMf/zxx6Z0tRxKVI333nvP0v0dxUTbIQ0BBBBAAAEEEECg+AQUeFWw1y+5Wpon+97o50k2VrD3tttuM439PAre6rvmeeedZyNGjPCTy4w322wzU3fiWqAWwWq9rG7AFSRWmgYFPBX41HSqg+r2/vvvu+zqclytzN1M8CXFac/zrG3btq6rd5XFX02Gr7zyip1zzjmuq3Q/PVtjtf4+8sgjTd3c33rrrRY26NGjh91www2xrtf9/ao7dHWXr/nLL7/ctcL2PK/M+JBDDlEWN+ih3OnTp7vpqnrR+ZPpeZStMnte1RzrbJWf7SCAAAIIIIAAAggggAACCCQQIClrAgTQs0bJhqpCQC2IdPPx7rvvNt0Ie/LJJy3cMkQtP/zfcqyKMrJPBBBAAAEEEEAAgaoTUIBZ3Y37Jdhiiy1sjTXW8GczHiuoPGDAANtyyy1NQd9zzz3Xdt1116TbU+BeQdPg77Gr23XN9+/f37S9pCuXs0AB+B9//NHlUCDa8zw3nY0XBajVKl5dqeu3wa+//voyv1mejf3421AL/csuu8z0s01y8dM1VgBdQXxN+4Nak+thBM2//PLLLsCuBxoqGtq1a6dVCmLQcU/nPMpVofN9rHNVD7aLAAIIIIAAAggggAACCCBQvAKFVHIC6IV0NChLpQTUUuXEE0+0r776yrbbbru4bU2YMCFunhkEEEAAAQQQQACB0hAYO3Zs3G9eq6tvPYSZae3VC9LTTz9t66yzjg0fPtz0G9z9+vUzBZkr+omhNm3auHWC31UVAD/ppJNc8P2HH35Iu1jqIvz3339Pe73yVlCZ1Dpev6OtBwT0G+sKbK+11lrlrZa1ZTpGI0eOjPtOv3TpUrvvvvvifppp0aJFsa7J5ZC1AmR3Qwm3VpnzKOEGM0ys6mOdYbFZDQEEEEAAAQQQQAABBBBAAIGcCmQQQM9pedg4ApUWaN68uemmZuPGjWPbmjZtWmyaCQQQQAABBBBAAIHSERgyZIhrmawar7rqqnbggQdqMqPhzz//NHUHroD3XXfdZb1797Y111wzrW3pu6oC72q1rgdA/ZX1m+g77rij+V2S++npjGfMmGH63ex01gnn1e+R67fIX3/9dfvoo49MdQ2WM5w/nXmV7aGHHjK1dq5ovaZNm1rfvn0tGLT/5ptv4tadPXt2rL4K8le0zUJZno3zKBt1Se1YZ2NPbAMBBBBAAAEEEEAAAQQQQACB4hIovQB6cR0fSpuhQIsWLeyss86Krd2yZcvYNBMIIIAAAggggAACpSGg7r2fffbZWGUPOOAAUyvwWEIaE3PnzrX27dvbW2+9ZaeddpoLLHteZt2l+12Vq2v5888/P1aKWbNm2YUXXmgKDMcSK5hQd/T+TxipvurWvIJVki7+8ssv3QMCCnDffvvtttlmmyXNm8mCmjVr2tChQ93Drqmsv/nmm9thhx0Wyzpz5kwLPhirustSGfTgQTpuWqcqhmyeR5Upf66PdWXKltV12RgCCCCAAAIIIIAAAggggAACGQgQQM8ArSpXYd+pC6gFj597q6228icZI4AAAggggAACCJSAgH4Hu0+fPvbTTz+52tapU8euuuoq8wOuLjGNl/fee8/efvttt4ZaodeoUcNNp/ryzjvv2ODBg+Oyq/V6r1693HYbNGjgln3++ef29ddfu+lUXhQ8b9iwocv6119/uVbjbibNF3n17NnTFMRfb731bIcddkhzCxVn9zzP1AL/gQcesOnTp1e4gud51qpVq1g+1VVBcz9h3XXXNX9eAXS1qPaXJRsryH7OOedYZR40SLbtVNIrex6lso+K8uTjWFdUBpanJkAuBBBAAAEEEEAAAQQQQAAXIa9BAAAQAElEQVSBqhEggF417qW610rXW61q3n//fVPLjYo2Vq9ePdONTd1023bbbSvKznIEEEAAAQQQQACBCAkMHDjQbrrppliNrrnmmkoFhRUA9zeWSZfmCxYsMHWL7m8jON5vv/1MXcIr7Z9//jG1tNZ0KoOC8HvvvXcsq37KKJXvyrEVVk6o1bmC0JqtXr26adB0todmzZqZult/5JFHTIHcirav3+j282y99dYW/Jkmde+uNC3XtnS8FSDXfKJh8eLF1qVLFxfEb9KkSaIsOU+r7HmUjQLm61hno6xso6gFKDwCCCCAAAIIIIAAAgggULQC1Yq25BS85AT0e4m64bb77rubguPqOnPq1KlJHUaNGmW6Adm5c2dT65SkGVNeQEYEEEAAAQQQQACBQhdYsmSJPfroo3b88cfb0qVLXXE7depkF198sXme5+YzeQkGZt98880ywV99L/3hhx/K3bQeBFXwMlGmLbfc0tRKXi3RN9xww0RZEqZ5nmfHHXecrbrqqm75sGHD7L777itTPi38/fffTQ+kanrRokWmoL6mNSi47Afeleerr75SctwwZswYmz9/flxaujP6Pq911BuAHnLQdLJBVn6rf+U56aST4noQqFWrlnXs2DF2XEeMGGFHHXWU6Vgof3BQIP6MM86wX3/91XQ+BJflczob51Fly5uvY13ZcrI+AlUrwN4RQAABBBBAAAEEEECglAUIoJfy0S+iuuvmXv/+/eNK3LdvX9ONRt1UU4uT4MIff/zRteLZf//93e9TBpeV7DQVRwABBBBAAAEEikxg4cKFNmPGjFipFRwPf+/zFyp99OjRdvDBB7ugqoKEail+zz332L333mua9vOGx9quBqVrrEHTwWGXXXaJzd5///328MMP299//22//fab3XDDDXb44Ye73o+USUFmBZtVBgV1VQ+lf/nll6bvsJoOD6qnvvPq++umm24aXlzu/M4772ynn356LE/Xrl2tW7dupqCxrfyn78fHHnusCyArSQ+a3nzzzTZgwABTWdUV+hZbbKFFLvh+3nnnmR5IVR0VTG/Xrp316NEjFqjXwwIKVKsr9s8++8ytl8rLOuus4x4U0MMNp5xyitu/jl14Xdmpe/tPP/3ULTrzzDPdgwJuJvAidwXG/aR3333X1LpcgXS1ctdw4oknWqNGjUxdvOu4rb766n72jMfyS1TuijaYjfOoon1oucqW6DzWsnwda+2LAQEEqkiA3SKAAAIIIIAAAggggEClBAigV4qPlfMloC4k69atW2Z3akVzwAEH2IEHHmi6OTl+/Hjr3bu3bbfddqZu25977jlbbbXVyqxHQvEJUGIEEEAAAQQQKC0BBQAVDB07dmys4iNHjnTdsj///PPmD7fddpu1bdvW9VCk7rz1cGXt2rXtv//9r+m74YUXXlhhd+QffPCBC4RrRwqIf/PNN5qMGw499FDTTwMpUcHfs846y2rVquWCtQrcaxvBIPbJJ5/sgs0K2tasWVOrueGyyy4z9aykALFLWP6i9RWw/r//+z+78847yw32L89e5r9+tqhnz55xLatvvfVWU6BYAeuGDRu6sqsF92677RZbX8Fp1VWt3lWXs88+26pVq+aW//LLL7bNNtu4Om6//fa21157mY6H0pRhypQp1rJlS1OwXx5KS2VYb731TF2v64EGz/NcTwH63t6vXz9TkF/H7Mknn3Td7Xfv3t1tUmM9CKF1XELgRWnq/r5Dhw6xVJVHrdsVWNfw1FNPWZs2beytt96yDTbYIJbPn9A5puOueT10oJbvmg4OOh/Vg4Cf9tFHH7nzy5/3x1pXDyT48+oWX+v685U9j7StYDm0L+3T374//u677+yLL75ws/4DHW5m+Uu+jvXyXfEfAQQQyEiAlRBAAAEEEEAAAQQQqGqBFXdHqroU7B+BCgTUJaVunOlmW6KsulG6xx57WPPmze2KK66wBx54wLVm0U3DRPlJQyDPAuwOAQQQQAABBFIUmDdvnp177rnWtGlTa9++fawbdq2uwOgtt9xixxxzTGxQa2sF1tV6ukuXLq6VsbrJVmvpxo0ba7WEg1qF33777bbPPvvYCSec4FpdK6MClApyKl2tl5WmQeXRd04FZPVgpwblUyD1mWeeMQWptWyv5YFmBaFbt27tgvwqk+d5LjCt4LWC2Cpb8+XfW7VNlfHII4+0iy66yIYPH+7qbRn8UyBZXberPOrSXa2MtRm1lNb2FVBVd+fa55VXXulaok+bNs21nlcZlFetuYcMGWK77rqre+hAwe7ggwiq4zXXXGNK1/5U/48//tgFu7V+KoMebt1hhx3s22+/tb/++suVQ93ty0QPKMhFDx8ooK3zQIH8q6++Oq7r9vB+dCzUslwPMahMft1VL1koXQ/batvBdd944w13HulhXDlp2axZs1x9tJ6W++eJgvx6WEN5NKhcqsepp57qWuprPZW3RYsWpgcTlEeD3zuBzjVtS/6ZnkeDBw92DwkHy6F9bbbZZu7hiXHjxtm45YN+6mrvvfeO625fpjo3R40apWK5HhNyfazdjnhBAAEESk+AGiOAAAIIIIAAAghEQIAAegQOYqlUQa3K1TpEN9A23njjuGr7N8f0e5Rqla6bcGq1HpeJGQQQyFCA1RBAAAEEEMifgIKhCgRPnjzZFMxOZVA34gocK7C40047pdSCW61wFdx+7733TF1dB/ejeaUr4BysuYKfaj0+d+5c0/Dqq6/ajjvuaJ7nuWxarqCk1lfLbnUj7nkrlimwqyCuWlrrO63qN2nSJFNL7l9//dUuuOCCcoPEbgcVvHie58qjbtn//PNP56fxY4895lqKy1atsRXUVTDZ81aUzd+s53mmh1LVwlkBZZVRgW191/bzqIt8pS9atMhU/0022cRflNK4Xr16pl6i1Hrd8zz3AKxa5asVvtz846DgvnqW2nDDDVParr77q3t0lUl11nYUhJeF0rU8vCHVRWVRXZTfH9RiWw9FaLl/nqj7fX+5P9Z5p+Op1u0NGjQwnbczZ8507n4ejVUmnWvalsqg8yST80jlSVYOPUCsY6pBx1t10L6Dw9ChQ01lVRk8L/fHWvthQAABBBAoNgHKiwACCCCAAAIIICABAuhSYCgagTXXXNPUEv2nn36KuzHl3xxTd+5qDVM0FaKgCCCQewH2gAACCCCAAAIIIIAAAggggAAC0ReghggggAACCCCAQJYECKBnCZLNIIAAAgggkAsBtokAAggggAACCCCAAAIIIIAAAtEXoIYIIIAAAgggUDgCBNAL51hQEgQQQAABBKImQH0QQAABBBBAAAEEEEAAAQQQQCD6AtQQAQQQQACBSAkQQI/U4aQyCCCAAAIIIJA9AbaEAAIIIIAAAggggAACCCCAAALRF6CGCCCAAAIIxAsQQI/3YA4BBBBAAAEEEIiGALVAAAEEEEAAAQQQQAABBBBAAIHoC1BDBBBAAIGsCxBAzzopG0QAAQQQQAABBBCorADrI4AAAggggAACCCCAAAIIIIBA9AWoIQIIIFCIAgTQC/GoUCYEEEAAAQQQQACBYhag7AgggAACCCCAAAIIIIAAAgggEH0BaogAAhEVIIAe0QNLtRBAAAEEEEAAAQQQyEyAtRBAAAEEEEAAAQQQQAABBBBAIPoC1BABBJIJEEBPJkM6AggggAACCCCAAAIIFJ8AJUYAAQQQQAABBBBAAAEEEEAAgegLUEMEcihAAD2HuGwaAQQQQAABBBBAAAEEEEhHgLwIIIAAAggggAACCCCAAAIIIBB9AWpY2AIE0Av7+OStdHPnzrXdd9/dDYMGDbI+ffow5NFg4sSJzl7HYOrUqXk77uwIAQQQQAABBBBAAIEsCrApBBBAAAEEEEAAAQQQQAABBBCIvkDka0gAPfKHOLUKrrbaajZixAg3NGzY0M4++2yGPBrUqlXL2esYNGrUKLWDRi4EEEAAAQQQQAABBBDIogCbQgABBBBAAAEEEEAAAQQQQACB6AtUXEMC6BUbkQMBBBBAAAEEEEAAAQQQQACBwhagdAgggAACCCCAAAIIIIAAAgggkBWBgg6gZ6WGOd7IkiVLyt1DRcvLXTmPC+fPn2977rmnG6ZPn269evViyKPB33//7ex1DOjCPY8nPrtCAAEEEEAAAQQQQACBghCgEAgggAACCCCAAAIIIIAAAggUigAB9EoeiRkzZliDBg1M3Z6HBpe2aNEiK4Ygep06dWzYsGFuOProo+38889nyKNB06ZNnb2OAV24V/JNyeoIIIAAAggggAACCCCAQH4F2BsCCCCAAAIIIIAAAggggECWBGbNmmW1a9d2cdZEsVelTZs2zXL5jwB6JXUV7NSB/PPPPy3RoANcvXr1Su6lKlZnnwgggAACCCCAAAIIIIAAAgggEH0BaogAAggggAACCCCAAAIIFI6AGi4vWLAgYdzVj8Wuu+66OS0wAfSc8rLxKhNgxwgggAACCCCAAAIIIIAAAgggEH0BaogAAggggAACCCCAAAIIZFmAAHqWQdkcAtkQYBsIIIAAAggggAACCCCAAAIIIBB9AWqIAAIIIIAAAggggAAChSdAAL3wjgklQqDYBSg/AggggAACCCCAAAIIIIAAAghEX4AaIoAAAggggAACCCAQSQEC6JE8rFQKAQQyF2BNBBBAAAEEEEAAAQQQQAABBBCIvgA1RAABBBBAAAEEEEAgsQAB9MQupCKAAALFKUCpEUAAAQQQQAABBBBAAAEEEEAg+gLUEAEEEEAAAQQQQCBnAgTQc0bLhgtFYPHixTZ58mSbM2dOoRSJciCAQBIBkhFAAAEEEEAAAQQQQAABBBBAIPoC1BABBBBAAAEEEChkAQLohXx0KFtGAgsXLrTBgwdbhw4drEmTJlazZk3bddddbcyYMRltj5UQQACBFAXIhgACCCCAAAIIIIAAAggggAAC0ReghggggAACCCAQcQEC6BE/wKVUvV9//dU6duxodevWtYMPPthef/1169y5s82YMcPGjRtnO+64YylxUFcEEEAgTQGyI4AAAggggAACCCCAAAIIIIBA9AWoIQIIIIAAAghUJEAAvSIhlhe8gLpmv+CCC2yjjTayRx991JX35ptvtvHjx9tll11ma665pkvjBQEEEEAgwgJUDQEEEEAAAQQQQAABBBBAAAEEoi9ADRFAAAEEEMiDAAH0PCCzi9wJjB492rUsv/fee91O6tSpYy+++KJ17drVateu7dJ4QQABBBBAoNAFKB8CCCCAAAIIIIAAAggggAACCERfgBoigAACCBSHAAH04jhOlDKBwGuvvWY777yzjR071i2tVq2aPf7443bEEUeY53kujRcEEEAAAQQQyLkAO0AAAQQQQAABBBBAAAEEEEAAgegLUEMEEECgZAQIoJfMoY5WRQcOHGj/+c9/bP78+bGKqRv3du3axeaZQAABBBBAAAEEKhYgBwIIIIAAAggggAACmJkrRwAAEABJREFUCCCAAAIIRF+AGiKAAAKpCxBAT92KnAUiMH78eLv88stt8eLFsRK1aNHCLrnkElqex0SYQAABBBBAAIGSEKCSCCCAAAIIIIAAAggggAACCCAQfQFqiAACeRUggJ5XbnZWWQEFzbt06WI//vhj3KZOPPFEW3/99ePSmEEAAQQQQAABBBAobAFKhwACCCCAAAIIIIAAAggggAAC0ReghggUmwAB9GI7YiVe3qFDh9oLL7wQp1CnTh07/PDD49KYQQABBBBAAAEEEEAgxwJsHgEEEEAAAQQQQAABBBBAAAEEoi9ADUtQgAB6CR70Yq3yP//8Y48++qgtXbo0rgpbbbWVjRs3zi688EI766yz3PDggw/axIkT4/IxgwACCCCAAAIIIIAAAr4AYwQQQAABBBBAAAEEEEAAAQQQiL4ANcxEgAB6JmqsUyUCCoiPGDGizL4/+ugjO/roo61Xr1720EMPuaFTp07WrFkzF1SfN29emXVIQAABBBBAAAEEEEAAgSIWoOgIIIAAAggggAACCCCAAAIIIBB9gSqqIQH0KoJnt+kLjB071iZPnlxmxccee8y1Sp87d65dddVVccsVVD/yyCNt9uzZcenMIIAAAggggAACCCCAAAJVJcB+EUAAAQQQQAABBBBAAAEEEECgcAWyFUAv3BpSssgIjB49ukxd6tSpY1tuuaV5nmd169a1K664wg488MC4fO+++67dddddcWnMIIAAAggggAACCCCAAAIIZCTASggggAACCCCAAAIIIIAAAghEWoAAuju8vBSDwI8//limmGussYatu+66sfTatWvbf/7zn9i8P/HMM8/YtGnT/FnGCCCAAAIIIIAAAggggAACJSlApRFAAAEEEEAAAQQQQAABBBAoX4AAevk+xbG0REq5ePHiMjWtXr26aQguaN26tdWoUSOYZN9//719/fXXcWnMIIAAAggggAACCCCAAAIIIFBUAhQWAQQQQAABBBBAAAEEEEAg5wLVcr4HdoBABQLZXlyvXj1TS/TgdpctW2Y///xzMIlpBBBAAAEEEEAAAQQQQAABBBDIowC7QgABBBBAAAEEEEAAAQSKQYAAejEcJcroBDbffHM3ruhlnXXWMXXtHs43a9ascFI25tkGAggggAACCCCAAAIIIIAAAghEX4AaIoAAAggggAACCCCAQIkIEEAvkQMdhWo2bdq0UtVo0KBBpdaP5srUCgEEEEAAAQQQQAABBBBAAAEEoi9ADRFAAAEEEEAAAQQQQCBVAQLoqUqRr8oFWrVqZXXq1Ikrx6JFi2zBggVxaYlmPM+zjTfeONEi0opZgLIjgAACCCCAAAIIIIAAAggggED0BaghAggggAACCCCAAAJ5FCCAnkdsdlU5gRYtWtiWW24Zt5E5c+bYzJkz49ISzay33noE0BPBkFalAuwcAQQQQAABBBBAAAEEEEAAAQSiL0ANEUAAAQQQQAABBIpLgAB6cR2vki7t6quvbh06dIgzmD9/vk2fPj0uLdFM27ZtrXnz5okWkYYAApkJsBYCCCCAAAIIIIAAAggggAACCERfgBoigAACCCCAAAIlJ0AAveQOeXFX+Pjjj7d99903rhJjxoyJm1dAPdgqfa211rJzzjnHPM+Ly8cMAgiUsgB1RwABBBBAAAEEEEAAAQQQQACB6AtQQwQQQAABBBBAIH0BAujpm7FGFQqoFfojjzxiLVu2jJXirbfesgULFsTmZ8yYYXPnznXz1apVswceeMBat27t5nlBAAEEIiFAJRBAAAEEEEAAAQQQQAABBBBAIPoC1BABBBBAAAEEqkSAAHqVsLPTyghssMEGpqD5zjvv7Dbz9ttv21NPPWVLliyxP//802666SZbtmyZ1a9f31566SVr166dy8cLAggggEBhCFAKBBBAAAEEEEAAAQQQQAABBBCIvgA1RAABBBBAoFgFCKAX65Er8XI3b97cRowYYa+++qrtv//+1rlzZ6tRo4atueaapi7c77jjDps4caIddthhdN1e4ucK1UcAAQSyLMDmEEAAAQQQQAABBBBAAAEEEEAg+gLUEAEEEECghAUIoJfwwS/2qlevXt0OPfRQGzx4sOuyXa3ONXzzzTd2ySWXuBboxV5Hyo8AAggggEB2BdgaAggggAACCCCAAAIIIIAAAghEX4AaIoAAAghURoAAemX0lq87YcIEa9y4cdJhwYIFy3PxHwEEEEAAAQQQQKDSAmwAAQQQQAABBBBAAAEEEEAAAQSiL0ANEUCgpAX++usva9CgQdLYq+KykydPzqkRAfRK8jZr1symTJmSdKhdu3Yl98DqCCCAAAIIIIAAAlEQoA4IIIAAAggggAACCCCAAAIIIBB9AWqIAAKVE6hXr57NmjUraexVcdkmTZpUbicVrE0AvQIgFiOAAAIIIIAAAggggIBBgAACCCCAAAIIIIAAAggggAAC0ReghgggsFyAAPpyBP4jgAACCCCAAAIIIIBAlAWoGwIIIIAAAggggAACCCCAAAIIRF+AGiKQHQEC6NlxZCsIIIAAAggggAACCCCAQG4E2CoCCCCAAAIIIIAAAggggAACCERfgBoWjAAB9II5FBQEAQQQQAABBBBAAAEEEIieADVCAAEEEEAAAQQQQAABBBBAAIHoC0SphgTQo3Q0qQsCCCCAAAIIIIAAAggggEA2BdgWAggggAACCCCAAAIIIIAAAghEXyCuhgTQ4ziYQQABBBBAAAEEEEAAAQQQQCAqAtQDAQQQQAABBBBAAAEEEEAAAQTSFSi+AHq6NSQ/AggggAACCCCAAAIIIIAAAggUnwAlRgABBBBAAAEEEEAAAQQQQKAKBAig5xm9UHc3e/Zs23zzzd3w1Vdf2aeffsqQR4PJkyc7ex2DqVOnFuppQrkQQKCIBfr162fXXnutu7YPGTLEjbnW81nHOcA5EDwHhg0bZrpWBNOY5hzhHCj+c8B/X/tjjmn+jinWWOfyHBg5cqT7Ts97m/Msl+cZ2+b84hxIfA689tpr7h6LrsEaivh2EUVHAAEEEEgiQAA9CUypJa+++ur23XffuUHB9B122MESDKTlyGXVVVd19joGjRo1KrXTj/oigEAeBC688EJ78skn3XW8bdu2bsx1ns86zgHOgeA5cNhhh9mDDz7I9SFH3/eC1kzz3svnOdC7d2/3vn7ggQfcOJ/7Zl9Ffa5zvhT458E+++zjjtFjjz3mxrzfeL9xDnAOcA7k7xw488wz7amnnrIOHTrYqFGjjH8IIIAAAtETIIAevWNKjZIKsAABBBAoXYF11lnH9LDU/fffb927dzeNGe7HYfn5wHnAeeCfAzfccIO1bt2a9wXvC86BiJ0DO+64ozumW221lRv773nGXP+jfQ5E//jecccd7j3dpEkTN+Z4Rv+Yc4w5xpwDhXMOqJGCehIt3btM1BwBBBCIvgAB9OgfY2oYFQHqgQACCFRCQL1bnHjiidapUye76KKL3FjTDJ2wWH5OcB5wHugc6Ny5sz300EO8J3hPcA5E7Bzo1auXO6bqYULvdQau+ZwDRXAOpHAdOv/88917u3///m7McY3GceU4chw5B4rjHLj88svtnHPOcXdpdt55ZzfmBQEEEEAgWgIE0KN1PDOuzdKlS03diGvQh/6iRYuMIX8GDRs2jPn/888/GR/HQl6RsiGAQNUKLFu2zHStr9pSsHcEEEAAAQQQQAABBBCIugD1QwABBEpBYMmSJe5+rsalUF/qiAACCJSaAAH0UjviSepbrVq1WMB8lVVWMYb8GlSvXj3mX6NGjSRHieQqFGDXCBS9gOd5pmu98Q8BBBBAAAEEEEAAAQQQQCCZAOkIIIBASgL+/VyNU1qBTAgggAACRSVAAL2oDheFRQABBDIRYB0EEEAAAQQQQAABBBBAAAEEEIi+ADVEAAEEEEAAAQQQyIYAAfRsKLINBBBAAIHcCbBlBBBAAAEEEEAAAQQQQAABBBCIvgA1RAABBBBAAAEECkSAAHqBHAiKgQACCCAQTQFqhQACCCCAAAIIIIAAAggggAAC0ReghggggAACCCAQHQEC6NE5ltQEAQQQQACBbAuwPQQQQAABBBBAAAEEEEAAAQQQiL4ANUQAAQQQQACBgAAB9AAGkwgggAACCCAQJQHqggACCCCAAAIIIIAAAggggAAC0ReghggggAACCGRXgAB6dj3ZGgIIIIAAAgjkQGDq1Kl22GGHWfXq1c3zvDLDaqutZjvttJO98cYbSfe+cOFCu/rqq61JkyZl1m/VqpW9+uqrSdfNdMHixYvto48+sj59+pj2n9Z2qijzrFmzrGPHjrbOOuuUcapWrZoNHjw445L9888/dvzxx5fZrud51qJFC7vvvvvS2rbOC23vwAMPtClTpqS1bjqZJ02aZHvssYetu+669vzzz6ezKnkzFPj777/debjqqqsmPF+U3qZNG3vwwQfL3YPOKZ1bnhd/3dB1QMvKXTmDhUuWLLExY8bY3XffbXovZbCJKllFFi1btkx4jT3//PNt2bJlGZdrwIABCY9hw4YN3TGuyEn7/uqrr+y1116zefPmZVyORCvqGt2tWzerU6eOXXzxxbZgwYJE2UiLiIDOpWTfAzwv/hrheRXPv/LKKwUjo3NZ3zc6depkW2+9dU4/Ewum0hQEgUoK6PPpkEMOyfja73/md+3a1f0dksvvopWsKqtXQmDatGnWo0cP09+L+i5SiU1lvOqgQYPc30qeV/Fnk74jq6xnn322vfXWW6bPh4x3zIr5FWBvCCCAAAIFJ0AAveAOCQVCAAEEEEAAgbBAo0aNXID7+++/NwV5gsu32WYbGz9+vAtUH3zwwcFFcdO1atWy6667zhQMVXDLX3jrrbe6gJcC9H5apmPdSPv5559dUG+fffYx7XPnnXe2p556yhQ8znS7+VyvQYMG9sgjj9j06dPtgw8+MM37+1fw4dFHH03pRoy/TnA8duxYCwfgN9poI/vhhx/sp59+snPPPTeYvdxpHfP99tvPdPNTN4dGjRpVbv7KLLz//vttxIgRzkQ3SXUjrTLbY92KBWrWrOnOQz0ksffee8etsPbaa9u3335rOua6ORi3MDSjc0rnlgJdnue5pWeeeaaNGzcurfPNrZjgRe+J3377zZ588kk7+uijrXbt2rb55pvbXXfdlfEN+QS7yXmSnH788UebMWOGhb0HDhxouq5lUggFpPv27Ru3qud57pr4xx9/uGMcvMbEZVw+I9/evXvbtttu6x6iquiBieWrpPX/448/tjvuuMMdq7vvvtuGDh2a1vpkLi4Bz/Pc94DJkye77xQKMvg10ANiN9xwgz333HNJhyuuuMI23nhjf5WCGOuBHT1E5n/f0Htk1qxZBVE2CoFAIQv4n0/vvvuu+z6RTll/+eUXa9++fewz/7bbbuOhlXQAiyCvHobQ98U11ljD9HfopZdeavo7dOnSpVVS+rZt27q/lQVykBsAABAASURBVPRdLfy3sL7D+Z9d+s6kv4eVTw9w6/Nh9dVXdw8AlFogfc6cOfb7779XyfEq1Z1SbwQQQCCKAgTQo3hUI1ynK6+8MmELFs/zKkzXDfYI01A1BBBAoCQE1JJUwQ7d6PYrrFbpwXk/PdnY8zxT0FbLd9xxR1MAzvM8zVZ6WLRokQsGq0X8zJkzrapuslS6Iis3sMMOO9i+++67cm7F6KWXXrLPPvtsxUyar2q9Hb6xf+ihh5Z5KKKizSp4rvUURFXeTp06mYLpms7SELeZZs2axeYVvK1Vq1ZsnoncCqiVslr9NGjQILYjvec1xBJSmGjcuLG70a2W52pxvMoqq6SwVsVZ9NCMHgCpUaOGC8IW+81JeasHimDNdRNZDwgE01Kd1kMOQ4YMicu+2Wab2f777+++u8ctCM34wfPOnTu7a6nOgd122y2Uq3Kza665ptWvX99tRMFU7cPN8BJ5gb322st23333WD2bNm1qp59+unsQRg/DJBpuvPFG98DdVVddFVuvqic22WQTe/nll61v374VvqequqzsH4FCEvA/n/TdvX///mn1tLLeeuu5B+X04JXnZedviEKyoSxma621lumhqvfeey/2d2MhuOhv4YMOOihWFPWgE/zsUjBdf6speHzttde6fHpYRA8AnHDCCTZ79myXVuwvqlP37t1dD0J6yEF/K4S/g7/++ut2xBFHRKbOxX7MiqD8FBEBBBBIKEAAPSELiYUooK5v9UdOJmXTzVIFSTJZl3UQQAABBApLQIEXdbfol0qfDX4g1U+raPzdd9+5LCeddJLpqXw3k4UXtT7VU/8nnnii9erVyxRUy8Jmq2wTKn/dunXj9p/JjUZtQK22n3nmGVPg0vP+vdmoz2gtT3UIBs/VElAth9T9tLab6jbSzXfKKae4XgXU+lAPAWTznEm3LKnlj1YuddV+6qmnxiqlVukffvhhbD6VCbU4nT9/vqkFT/PmzVNZJaU8eo8oEKeWaHrPq5VSSisWcCY/oBwsot67eg8H0yqaVgBcQQnd0Ay+P1N5CEXr9uvXz/zguR7k+frrr00P9VS033SWq4vTF1980S644AJ7++23XRe86axP3uIV0Gdbup8/qq3OZQUrMllX62d70MNE6rFDD5Gtv/762d4820tTQMGpzz//PM21yJ5vAX3G6PNJ32m170GDBrmeaTSdyqAHKfVg3n/+8//s3Qm8r1O9P/C11JXb4J6iOio6hlBSRyiNKJXcigZSUlSklExJGlDIEDdEacBNhmvKUBkqoaiEKLcuVxxS3DS4aND/0v+8n2Ptnv3z+/32b3j2Pnv/9ne/9vo961nTs9bnWeN3el6XZvq4u/rqq1OrcGsvGIx6GnO9TzexdNa08N6w2PWy/ljjfLLkgAMOGHucM4wzk/4/FjgDPffee296wxvekPbZZ59KeFX/JSDwrGc9K7GahHbM4tyBBx6YXvGKVzR61p+BcEWVA4FAIBAIBIZEIBjoQwIY2acOAZukBQsWDPRA2gUz/WAzUMMjUyDQDwKRNhCYIQhgUu+4445jmlZMo7My0isxgMQ6jUjEB1rMk9Vs9aTROFnlT2W52oHpVZ7ZL6FRPpjT1KW5Bxth/bo68xyhBEONqfyc/8GQ77fMXtKr7/bbb59oH9JS7CVPpGkOgZxzete73pXq2sEnnHBCRTTr5SnmBmb+9WPCLTlPTn/RTzyjlzrNhDTFUoe6+vyCMczfq7NvN1fAfL311us1W6UFiHlOE541D5/AuOCCC9JkjL2cc3rJS16SjjjiiOqa8+T0jZ4bHwlnBALz5s1L66+/fvL5hhlR4ajklCBgrcGc+va3vz0lz4uHDI6AzxQRwCwlELI79dRTy+2suS5YsCDtsccePe+nZg0wI9LQnHNlWYWwYGkSE+/2Z+V+Jl5ZRSL84lNA6MTHHXdcYi3MXhVj3X4c/Zfg7LbbbjsTmxh1DgQCgUAgEJhGCAQDfRq9jKhKdwQcan71q191T9QhdtNNN53xWoAdmhbBgUAg8CACcZldCDz/+c8fp4mISbNgIRGoFxRorGMEbbbZZmneQiJ4L3lmexpatTTuCg7W5H4IjYQWmJddd9110wtf+MJSTF/XwjxnqpDFgUMOOaQyyd1XIZF4xiKA+Fc3WWkMG8u9NMjcYI7YcMMN0/z583vJEmkWIoDoOGfOnIW+Rf+f//znE0LloruJf7/xjW+kO++8M7H00etnNjCgzC2+O4oIevPNN6c3v/nNiZbtxE+MFIHA1CCQc676NYL91DwxnjITEMA4JyQ4E+o62+toD2FfaW9RsLBP7dfSSsk7E6/25qyv+Fb2TKy/OoebGAFa9PWzlzMcRvPEOadnCv3W/pIgtc8O0bTfZpttEqFqwiCY52pOierrX/96eupTn+o2XCAQCAQCgUAgMDACwUAfGLrIONUI/PKXv0z33HNP34+lYRjm2/uGLTIEAoHA1CIQT+sTASa03/e+943lQgzAdBkL6OKhycikMAZ6zqFt2AWqcVG+IWdNLYH9EBoxOhErMdLqDLlS1kTX+++/v9L0w8BjuvsZz3jGRFkifsQQYCrddx2LhjfNky9/+cuJBYqJmvqjH/0omSOYWi2EtYnyRHxKxlldaOHSSy9N3//+93uChhljGkKEFpg/7SnTwkQIoD/84Q8TzUBm4xFHFwbHfyAw7RDwuRZu2lUsKrRYEMCMZR3pgQceWCzPj4f2jgAGnD0s6yOf/exnU9lXYCraq/Ze0sxNSVjNZ2cwGGduK2Z8zaesAU972tPGPesXv/jFuPuZdGMff+6556b6/lT9fX7ooIMOSrTO9W971lVXXVVUuEAgEAgEAoFAYCgEgoE+FHyReSoRcKChdcZkJ6KpTVEnd/bZZ49VjeQh8z1jAeEJBAKBQGCWIpDzZDGLFw+gL3/5y1O/miM0SzBlnvvc5yba0Iun5jPzqSuuuGJlRrvU3rrcC6HRWn3iiScmJuAHNZlP+5TVAd8g5C91iOvsQmCdddZJGLKl1WeccUbSD8t9u2shlBP+8B3EdmkirD0Cvv+50047jTEXjGWm1XsRWiDo8uMf/zjRCrJ/b/+Eh4b6fuW//du/hTn1h0ITIYFAIDBNEcA8t78JTd5p+oJaqkWoE3PN+vSCF7xg3L4CY92+oSXLSN1ayw877LD0oQ99aKTaFY2ZagTieYFAIBAIBAKBwOxAIBjos+M9z/hWItRdffXV6eMf/3hlLg9Br1OjpD355JPHopl9pLU0FhCeQCAQCARmKQIIJqPUdCbp3vSmN401CSNtIoaueOloQtNirzJ3+UFEO/300yspd9qYT3jCExIJ9/XWWy9h3tGM7pK9ryjv56qrrkrMJntOzjnlnCvTczvssEO6/vrru5ZHq/6yyy5LmIRM20n885//PGE855zT05/+9Mq8nfBB3Rvf+MZU1yDvhdC4YMGCxHw2jf95A5jML7jAYI011kjKwJCjTbH33nunu++++yHNueaaa9Lmm29eMf5yXoRjzrm6f/vb357Uidtiiy0qjHNelGaDDTZI55133kPKE/CnP/0p0ailxUwQQ1ir0x9odey8884JVsXctW/0IVRi4jJlrQ20nryzUgY/jQqCf7ShuFe/+tXJOyxpOl1LP5X30Y9+dNUm+ZkrP/TQQ9ti1Kms6RxO62SbbbYZq+Jdd92VjM+xgDYefcG477X/DdLf2jy2p6Bh35u66se77rpres973lM903jA9CZoYpx84QtfqMIH/dGH6kIL559//oRCC/biGO00f+p5+6mD8WA+u+iii9pm++tf/5rUhQawPi6R8UeIlsZ7zrky+26NuO2221K3P/kuv/zyJC0LJe3SFqwPOOCAirl/++23V8nMC4cffnhaZZVVqnFnXdpzzz2T8CrBwp9SvvFsfHo3hIEwcJS7MEnHf/HDrAsdC46IgRD44x//WM3t5f23K8T7tgZ7x951zrlae7z/XuZzZeo/1ht7DXO5cqx5zIP380kz/Uc/q9fFOuSsrJ6e1cndeOONFYONUIv+bT5hCpeW9URjigWK0047rdp/fPOb36we4XnGs3VKmziY3HDDDVV8+dG+3XbbLalnWS9pypovS5p2V+UPgjuMzKPGNrzLu3Vl6ciYzTlX9WmH27e+9a0EI5+WKfUyB+S8aF/BvLAxXOLqVxjbL8A150Xp7f+23HLLxHKKutXTh394BGBKqBPm1if7Cv2wlGy/YN9Q7ge5lr5Y+rrxyyJir+cGff0rX/lKeuYzn1mtKznnpB/6tEm3sVfWzW7nAP3qLW95S2L+urTt1ltvTU960pPGnmWfLI6Vn7Ke5ryof9LwFVecNNqmjTkvSgNb46ekKVfrtjX6pS99aTImvAtzgvNJzjltsHAP3ppPGml3WHgO6vUMUJ7X79X8bOzBOuecHvvYx6Ze5rv6c0p9Bz3L1ctq0m9vWC8P5uVenc2B/e4lvStztX1PzovevfNNL/N1ebazLawK5qwOeQcXXnhh0p9Luk5Xc6jzlTm433UqPVgobI455phkv2tdynnReLMenHTSScl4fDBpXAKBQCAQCARmKQJLzNJ2R7NnGAIIpDY2iOETVd2h+3vf+16VzOZ97bXXrvzxEwgEAoHAbEcg5zxyEGBSzpkzZ6xdxx9/fMeDLqYOwo30iDRjmTp4MEKf85znVATkgw8+uGJk/va3v00Euv7whz9URHRMq14O+B0eMRasPMwbh3XEB89G0LjjjjsS0+kO9rTtMcYQ1ktGRDomjxGWCAQgkiPmMiF6xRVXJN+8Yw5ZeoIDX/ziF3kHduqw8cYbj+X3rIlMOiNo33nnnWmrrbaqiHNjmXvwaOs73vGOBBcWA376058mRB4M6fXXXz994hOfSLSSb7nllnGlIYIg3qub910iCdVh7MGYQ/iDmTTacvHFFycMuZLeu8XEE4a4s/XWW1fvH74ljetNN92UEHwQYglaYKj97ne/S94P4ssKK6yQaNUqz3tV3/e///1VmHsMBFYRMHlvvvlmRVaEI9h5h95lFdjmh5bvmmuumRC+ELIwePR1eRCCEElZ4mF5wbPaFDGjghC89cNSae3qJNAgDYYo3BHIc+4+Bw7a3zynXzfMe9NeTGMMNZYh9C0mKzGtXv/61yfES30U0a/0xX7rV9Lr061CC1/60pdSt75krsHcNqchrJayJroqEwG7Pp/BqZ4PUfWVr3xlwpQyLj1HfzeHGt/GUGF+wMCnPRDrjbl6OZ5lLjFmHvOYx1RzpbSsXNXTmbuMVURdWH/kIx9JylJ2Ifwbe/qOfNYIDIZddtmlGsPmcO/EOLZ2SCOveUVfPvPMMwW1ddoEQ/Of+arXdaFtYRHYCALeJ2ZTp8LE658+N0FAy/xkrBpH5nNzNeEp/a9dGcKZVMbMwqy19utbzsHMTe+///5JX+hWRilXX/7gBz+YrJX6m34n7je/+U3CQFMvzxNWd+bL/fatUsyPAAAQAElEQVTbLxGAWWqppSpGLiaFT6kZm0cffXTSDmtMPZ9xaI9hframar/9h3UQ0884eNnLXjYmDOg5MDE3G1Pu7bW077jjjqvGj/qJs/f5wAc+UIXVn1n8g+BufH3sYx9LT3nKU1IZ2xhCcPIOtOOoo44aE4bphBtrSObeAw88sFQn8as75/210iPMzd4NjM3d9irS3nXXXdVabl4w7t/whjckbRsrODxDI2DeJ9SpLxJWUCDrAQQ2+I0bDHbvw32/Tr/aZJNNkn7tverX+pTx4swiXH/pVK553tnDum4dsZfda6+9knpZe1dbbbVk3JT8xlc/5wBtM7foz/amynF1r82cfbLwd77znUm9ravu2zlpMOXtn+05W9Nov/nHWmbdVpb00unnxo89g/tLLrkknXPOObyVM3YGOQNUmfv4MR6t4wQWCEl7B3BQL0I8GPedhGvrj/HutdPYNY+Vcozhbme5ehmT4dc+QgilbH3d/DboXhI2BDxWXnnlZI9kn6lPaWOZr61X5v3yzNarMqxjMHd+VRfnJvs666Z1FEP8iCOOqARlCcvqY9YZZelXg6xT8hanDuZ6ZySfCLO2wcpYI+yiPs6u1jt9s+SbLteoRyAQCAQCgcDUIRAM9KnDOp40BAKkP22kHG4nKgZhzXcupUOYQoDgDxcIBAKBwGxHwEFx1DBAAKgzdLtpjiCEYLZIL183LDBoaWDIgzhEsr2kd6DHuHWPWOyQzT+oQ2BAKEAcQJBgbWWZZZapisN8QjzAkBGAMYYAV4hvmDWYr4gYiGjScBi6CMOf+9znxjRThWMCuQ7qWHRBzEJQUgai4LHHHtvxO9TqSYvOeoypLU+L63irvyJCH3/88RUDHTGehosMmBEYWYhATKbuueeebeuAKQ0zeThapgTt+DmMtmuvvTYhnGy00UaCxjnvAyERUXtcRMsNArx0XM6LmLQIL5gU3/nOd5Jn3Hfffcn7QkjEXFCEd4uYiaD4qU99qiKQ6g8IOLThpPFshNRCNBJWHCIqYRBYeY5yWOmBE7wJBSASY75sueWWiclOaUv+mXg1JhAoS92NUeO+3NevCHL2j/oBSwz1uFY/XIbtb61ldrof5r3R4PrJT36S5s6dmx7xiEeMPUL/op1K443WOW1RkZjD+gT/oA4DGgG55DdXYUKU+9areGHmKtdeHAadvsxhGhoD7fLRdDOnIGqWeARbDAt9w7jzLs2BsJDGHHHIIYeMY/obk8aYvLCTrp0zVjEaEVkLpuq2xx57JGUi9iO2Yrx5DqEG5ZgLEJTVC1FZGgwKTMhTTjklmUPNn8owT8pTd+aBQdeFejnhbw4B/QrjzbzSrlTvkXUbcYS9MH2NAYwZa8+yyy6bvHOM4G9/+9uSjXPKN0e/5jWvSdZZz3r2s5+djF+MJ2uecV/KYLFkXAG1G/uBT3/604mQh74ujz5obtD3JLWvMH/y15050/7BGZrGq/VWvHWFYIAxaF3SPm0Wx4m35mkrwTRhnHYYA9YgY8c6KJ+9lXjjBiOFpictbvEYUa7i6mPqyiuvlGWcU9YguJsbMSjNJ2Vsw82egUajecy624qbtVo9x1Wijxv1fdvb3pa8H3tJ+zQMHEVgJNnPmDu8p6997WvJ3sQ8JT7c8AhYfzH9rCE5L9qvYXbaP5XS9dlua1xJ13rVv41dfZdAlv0mxismcUnrHNJJ+NZ73nTTTZO1C+PaGDGHEJxRb32CwAWhttIHPWsyzwHmHwzhUv9OV2cj81NrPAw4THpzXIknXGPvrY+bH0q4McAv7VTsyTBizcn22Z5n/1HGoz2Ffbq5V59Rr05uOq/Z5s36Plmf8q4G3UsSfNCHfVrTOcnczhk3sISRZ0pjTLhvdcqQlnAhRrg1ztkX/vZN0hNWk4YSFbfPPvske2Bxg65T8nL6FwEp480Z3xnK5xysY/q8/Zcw688vf/nLZAyrs7zhGkEgCgkEAoFAYEYhEAz0GfW6Zm9lbWQw0XNedMjphIQNmk14iWdmNefueUrauAYCgUAgMOoI5Dx68yGGLoJu0XpA6MSQdDBufZ+IoYi+tBTla42v3yMqOPwLozngWncO1IXg2o4QXk/bzY84izDmWUwuIuDlPP495ZwTIi/igbIQ30jJa+Nyyy2XaCiJR3QXzynzk5/8ZKUVjUBAch6BGiFf/DAOYRwhoZShPu2I8OJ9B5nW5c4775wKEV54L44QQyFWIKa3Mrl8Ux3BTlkIjdLztzr40PgRjkmHgQA7RGxEMfE048S3OsRL6QkJtBc+WJRD/8PMRPTEdBBK8wSRnMaQeua86L1i5CLcSkPgj3YrIQGCHfY7wl1p+tGudw/HVqYNYh3tcsRU71+flLbuECIRKPUT4YQzYMU/kx1mSWmTdsDPHpC/7hAM9U37QVjU41r9+k8T/a213Nb7Yd/bUkstlfQVfYhWWikfsR6B2jvG9GIWEzEYI3eitpcyOl1p6emPJV6/Rcwv9/WrfoqwqX51pns9TTu/MWKekh9zoF0aYdpi7Jsr3XPGGE1yhG4EWGGEbhHEyzytL3jH4jgCJsY25hk8hbVzCKnGNwIrrUBpENJpTWGqK8d4Fa4NmIr81iJmSc0x5hHlCM85V3O2Pume5qB5ib+4YdeFUk5c+0OAoJF3aq/Q6lgrIUhSH3P10q0pPinCCpq1Vz+tx7NMUgR/MLMJZbTOWfYSBDNYWyEMU/pMKcfaUvqgMghvlLjWqzFqv6M++m7OuWLE65OE0aS3rlqf+YvDnMC8da9+BD74i9MuGrDuWYuoMxlzzpVlCGslLUJpOFZVtM3ey/wlzH7AvmDOnDluK2Yyj7FcxrB7Ywqu/MYUc/T8xQ2DO3zV1TpbcIWb/R/c7HOMbene9a53Jeu558KVIBz/IE4b9S+CnOZqz2gtx56k9DWMUowjjL7WdHHfHwL2feb8VqHOnHNlJclcr0T9oNMaJ76TszYQerHPsmcnXGl9wUQnsFXyEaJqFYAx3nwywJ7uwx/+cDVeS3rX+t6boBjBC/3fXsg+1j5wqs4B6tOrW2mllaqziP5cLDFoo3OMsYB5bu9lTDi/YWgq23otnN9cNegZQP5uzn6FMLR511qd86K9esmTc07vfve7E8GhEtZ6nc5rtrOIPZX5U73NO84O5mB9017NuxHHTbSXNB/ZD3pv5V3Jx+Wck7myzOvGkH2duLqzz7PGWcesFSx8lXh+cWUsqq9zuL5+8cUXV58yGGadKs8hQE1QTLn2adaCEleurJla+9XF/MtqSH3NK+niOhsRiDYHAoHAbEMgGOiz7Y2PeHtJBxaTUDY8ZZM+4s2O5gUCgUAg0BMCDok9JZxhiRA/EcNKtRFgHPDLvSuiGUavg3g3Ioi0HEl4RFP+dodq4cXRPHSYL/f9XJknxpyVB0MFQYO/1akL4phDvDhM8fohnkCAOovjCBXQuuXPOVff7KXdxTShsGGcOiLGlDIQkxG+yn25Iihh3iFMYxqX8F6v2kxDTHpX9/ztnDogsLWLU19aXoWgQ5AA04D2FyIp4ny3spUpL6IOfzeHEM5Jg3DKhGHODyXG1fFAhCrvSr7itNlexj2iLAISf3EIj5jD+ict8xLeesWA2H777atgRMvPfOYz/9DWr0Jn3g+LCxgMpeasD7US6fS/8skG5llL2k5XfQDm4l3d87dz3fpbu/T1sCbfW30860Pec86L+pv+R4uyMLvqdRjED0MWH0peTAjzarkvV4xqWnSIsjkvqkuJ6+Wac07m6YnS1t8PxhxmRc7jn4dwj3GpLBpwxjt/3WHo0Qyuh7Xz55xTGduY8gSeyn2q/c2fPz+ZjwURqKHFxF934st7MSZpptfjm1oX6mWGf2IEjGtjSF9qdZgCiPedSrHnsN5hVrfrvznnpM+U/Bi0GNDl/t57700E3zAUMGrrTOSSRl/FyKGFymE8lLjWq7FKU7q+L5BG32PlgZ8r52Z+TnyZV6ydnim8nVNna1O7uPrYMAasU63p1NH6JNyY0rb6uBbOWQfVi7+OmfthcVdGznnc2MbobK1vzrnSBE8P/hmjD3r7uhAmINgjEwY9DVf+VpdzrqwQwEicT8EQtOQPNzgChBG9O3tY/btekrm7fpbotMbV87T6586dm1gQaO3HxgOBkSLM6TyGMVc/O9jDYDiut956qWhA18tX33r9CPvU1w5jpD7eJ/McUK9Xr36Y1OuHeWlsyw8fQgAsWGinMOntxfhd3fO3c+buTmeAdulLGEauedd9p3lXXF1wyH2r06eaOMu1ljvoPWavuZFAH4EOFnmURaiR4Ib9ofviypzvvtteUr8luEGAQ1/W5+Spu3nz5iXPFCY9AQVX98XZJzq/uC97NP7imEwv5yTCoAQNS5yr55Y66y/9rlPOBz4Xot88/elPrz4Fptx2Tj3KeQOOBHbbpYuwQGBGIRCVDQQCgb4RCAZ635BFhumMgEOHjZA62tSR1OcPFwgEAoFAIJD6/v50miF/Ds+IYaW61oFWhi6iGY0QGmCdCJYlvysClkM/QiqJc2GdnG/0OYx3iu8WjgBGKwAxAGGjW1pEhrXWWqtKghGEaVjdtPmZbAEyRLzVV1997MmYggjDYwELPYgjhBZoCyM+LQzq618epgHh7+q+UwGIkBhRneLnz5+faPaJ1z8QrplO9n7nLST2CJ9KVwg/3Z6pTxRio7bVCaW+c27PIz8mIaItfyeHgVGEL/QbZnE7pZ0J4Tkv0hYrbUKcw7yqj8PS/2jY1Ptqp/bpX/pZE/2t0zMm871hyGpDp2cPG26c1LW+Md5o1dXLpUGHuEhwxJirxy0OP4J7GUNMM9f7x2TVx3pU+mW3Z9TngFam4GStC93qE3EpseBgnjWftDrrNAa6+bYdVuZja4t1mtW0dmkwizCCxJnTzVH8HHPGtKv1n25CfgSuaGZyGE7ytnMYUly7uPr5uFUIxrqDwcuShT3Qiiuu2K6IKgxGxnx1M8BPfXx2yw6TMqYI52Dcl/TD4l7K6eVaH7MYVL3kaU3DvL39m/Bu71k8JiohHH79r1gGcB+ufwTM//YJq666arKHbS1BP6ufJZwZnB1a03W710+V0y6NcBYHShxBTvONe2PJeHOlCW0cCm91BHRKmH7Uuu8uca6TfQ7wjEEdgZl2VpPq5dnPTPaerDBy4T3MnmVxr9nWE8LkOefqrK8fspLjcxTmKvtDfR+jvwgt1bGu+6WFfT2s+PVXbfX+Ou2rCRvXn3Hdddcla2Mpw9U86NrJKYNpd/HGhE+i8BfnfQ2zTjENbz1XHgY6IWn+ds6z6pr2p512WiJA0C5thAUCgcDUIBBPCQQWBwLBQB8CdRLivjlkwe3kHCptWoZ4TGTtEQEEgGK+PeecMNBzzj3mjmSBQCAQCIw+Ag6ho9pKxLD6YR4himaB9mq3e8RajERhE7mcc9pss80SM4qFASOPNZ30vu+6IVgIG9RhvGNCyY/YgbjGYavzOwAAEABJREFU38khaCCIlPiJCBAl3WRcCSEQRihlI+QhZJf7gjnsaK6W8H6vCJ20BFxLXmVjONGop8VXwrtdc86JZiHCpHQYmTQMi1aBsJnkEH9oZagzjPVt/k4O06donNDSaTUZ3SnfdA6fP3/+OCI4YY06Q0p/RLRD+EIA66Ut+lkT/a3Ts1re20NMtLbmm07vLefxQgvqilnurMPP0ZDEBNxmm236/mSD/OFSmsnrwii/P3Ps+uuvn1h/sV7X20qAS78XhuGTc66YGDmPv5qz6ibRMYPl4TDrrG0+T1DmauHtXKE7tItrIoxA1r777psKA6OUyYqDTyVgIJSwxXltAveprj+GXXlmnSFfwupX61bZswjHRKoLDwgL1zsC9gf2Cfau9rDtctbPEsYjiz31Na5dnn7CWGQqVgUw4TAk5ScQYw7gp8Ge8/i5I+dF95tssokklSMQgBZZ3Yzoz2TvyXxaAnT6w7wBhWmnw5rt/IihbG4u7oILLkjmbP1X36dhL532DuqYg7ePdf6tM+xzXtQ/c150ZV2hPIOVNhiVe1d0W1eujAH+uiOMVu6dvYu/XIdZp5yfilUvZyhzbSm33RWTvQi/LViwINXX7nbpIywQCAQCgS4IRNQACPiMC+GqcgZqvdpTd7KKNcDj2mYJBnpbWHoLZDrNQoo418lJ48DdW4mRahgEENN9s0wZJCeLlp77cIFAIBAIBAKjjQDiB6JYaSViQSFULlh42P3Wt75VMdsQsEuafq6IW8wh0xJHQPCNUxL4/ZTRmhYhtJv2SGt693WCggO8MoQvDvf2t789FUKg59fNXcL8uOOOS4QQBiVKKbPuEFB8N5Jpv4MOOigxT9lK4K+nb/UzictUo72ZOAIIGP/8M80hONUZMRPV34GjrklozzRRnukejxCIUVvqaS9eLE8gzhGqJFSDIF7S9HMdtr+1e9ZMf2+YOf8QOknJHHvNNddUTUXMP/rooxMt20Exrwqa5T/m9GHXBdqqsxzGSWs+IbbllltuXPnmG3sOgQceeGDCeOvF7bXXXrJU6ZnbrW6m2Q/LDRdddFFixnaHHXZItN59bmY6VHNY3Ke6DZhI9kb9PBfjpqQ3L/Sz7pd8cV2EgP2BPuOOv50jlFnfK9XXOPmGdQi+RTvXmkmYU5n2opid/Oecc041J/Qyh9TXY3lH2TW9J7PWFmFS1jq4QfBTjrHZT96mz3I558RaxRvf+MZUnE+GEMbqZt68nzpLS4hHv+xmrUV83d12221JPeQvrn7fae3DDCnp63iVsPq133XKOb6efyI/Zj3hNukID9jL84cLBAKBQGD2IbB4WvyIRzwiWW/Re9q5u+++O7V+fqnpmgYDfUhEEe+6FeEld4uPuOYQYE6oEIxe9rKXpSc84QnNFR4lBQKBQCAQCEx7BFoZukU7kiYq4tTWW2/dt1akzdj73//+RBMU49ZBnynwXr6ZOxFgLNkgoElHQ6AQ0tx3chOZPOyUbzLCMcYxyEvZtGeKuUuYkwId9DvIpUxXhBGmS63rtPx8J5IpQsIMhRkuXS8OQ9W7lNa37DDiyzsQNlNcvc5wponXre40LOrCDt3SzqQ43wCum8FlaYLlCf1Qf0RcJlzTT5ua7G+tz53p742Wjnk251w1zb77xBNPrIj9GIgTafdVmabLzzStx0xfF6YprI1Vy9pvDNRpABg7NCM8xF7DtR+HsVrymX+4fvJPRloMEIxzQumHH354Oumkk5J1/QUveEEyD0zGM/stc1jc+33esOlhWl8DemHC2PcMK6w5bL1HIb99gf2Bd8C6AgtEnVz90yT1Na4JHAgzEjJrLctzSt/opV+05h/le/NhU2eAOk6EUfplfNfzF/9sWrPLWaMwMQoG/V4x+3NetI8k4G58tpbh/C3M2YXgGn+rM54HWaesHaUsliBKu0pY69UZyic1WsPjPhAIBAKBQGD6INCTINwQ1Q0G+hDgRdbpg4BN15lnnllVKOcw314BET+BQCAQCMwyBFoZug7lCGG0TBzAEX77gQQTbuWVV07f/OY3k++TvvWtb53Q5HI/5bNQg5gmDyKAtYy/V4eQ36RmQa/PLelyHm/SWRuYu2SujzY6LdT58+eX5ANdmRtnshL2zBMyn0uTfJDC1O/QQw9NiJOF8X7ssccm73mQ8hZnHsybnBcRn2BUCE291qmu/dFrnumYzmcN9I1SN0zcM844IyGUG18+51PiernCsqn+1u55o/DeaKI+97nPHWseBjrBIvOsQNpPruEGQ0C/7WVd6FS6dWG6MDg71XEmh1tz3/nOdyaapKUdGDGE4Nz/8pe/TBMR46Xr5OwD+tVS7lTWoOHa4jM1G220UTK/Gtt1rdxBy206X5O4N123duUZlxgxJY4p5OLv5YqZrv/1kjbSjEeAJvkNN9yQnAnsBbs5Gqb1zz2dddZZaTLGJMGIJz3pSVVFacaXecN6WgXGT5rsPVmBeBiGcBNr9kwZ18XsOYHvIvRVMOzn6nMo5fNe9u2Eoo3JUgZhEspR7nfaaac0r415/WHWqfr67TMIyvKsXpx5/LGPfWwvSSNNIBAIBAKBwAghMB0Y6CMEZzRlcSHAdLtv2Xg+Sfkw3w6JcIFAIBAIzC4Ech7P0KUV4OCNQbrZZpu1PYB3Qsi6gpHGdPshhxyS6mY0O+XpNxyTpE4U+NGPftRXEdY7B/m+MjWcGIOcmcBSLCLlZz/72XT11Ven7bffvm+N/1KOK4LWlltumS688MK07bbbVoT8nBcxjcX363zrEJGGQASrAvLT+vnIRz6SEC/dzxRHIKQQcDBcaNP3Wnd9pp0GVK/5p1s6RDh4lHrRLjv11FP7/mRD0/2t1Kd+Vc+Z/t4ILWyzzTZjzWJGjYYqoQXmnVl5GIsMT98INLEuFAGhvh8+dRlG6kmI8d6bRl177bWJEBl/r07eMidjHFires3bdDrP33XXXdMxxxyTXvKSl6Tdd9+9UcHBJus7LO5N1qWXsjDJCGWWtD5/UZimJazbVR/x+cBuaSLuoQhgjrFIteqqq6ZeaEQE3eprHEYh6wsPLXm4ECahmYZWin2B5/KznjPT9qTq3bSb7D2Z8UgoRb0x6gcVkjB/z/SzHAx6cfaw0mF2f//73+cdyOnrBK3Lp9c+/OEPpy996UuJZjh35JFHJsKwLL7tsssuKefxZ79h1ynzcM6LynR+KoIBvTSGkGIRfOklfaQJBAKBQCAQGA0EgoE+9HuMAhY3AjZwiHau6vLyl7889WuuU75wgUAgEAgEAjMfAQzdDTfccKwhCF8O4zRRc150WB6L7OCxnhxxxBEJY8ghua5t2SHLQMGIN+uuu+5YXox+Uv1jAW08P//5z6vQnHPFIKxuFuMPIsiOO+44RtzAkD7ggAPSc57znORzKsNUjVk+VgSUQZgB45d/EEfDABGG6d3CFCiMPt+8RLgZpNzFlUe/LOb89VeCC93qghB5yy23VEkQkUvbq4AZ/oNwudlmm421wrumQWbM659jERN4muxvnR41Ku/NN5Drfcj4QYSkmTvMOO2E22wKH4V1YfTf1/gWYqCssMIKVaA9Ry/MNvsSzAEMdxmf8YxnuFSOxrd5rLrp8CO/tfa2227rkGKwYPX5yle+UmUmHKdt1c00/FG3YXGf6mbVLSERNGQRp1sdxFvPpEHjiPkVEv05ggr2SJh1vdKInCPqaxxmXxNM7fpejDWXUh9XTHQtw0B3HuDv5tSHpQhzTrd0MzVusvdk9oeFgQ4j1glc+3Wzac0u5w4Yob8S4OXv5vRnDHKm+OvpCGOyYLT//vtXwtaEmZdccslkHBAov/LKK9OBBx7YVoBr2HUKA91+XH0IT5iL+Ts51k6KuX/n25K3U/oIDwQCgUAgEBg9BIKBPnrvtL8WjUBq0qKFwJ5zTq997WtHoFXRhEAgEAgEAoFBEEAQ2WabbcZlxQBHqBoX2OWG1rkDvyS+pcPxT4Zj7pgWlbJ/+tOfJqbs+Ns5Evc//vGPqyhtqjPfq8DF9ANb9ak/ntlXxJF6WL/+uhYeE4n95i/pMZgxGmgh7bzzzhWznwnzffbZp/JLh0gzk8xmwhbG6s595zvf6apFjxlTLPX47icNCvlGweU83vKENtGSoZnO36trqr91e96ovDfEfsyIelsxHAgw1cPCPxgCo7AuDNbymZmLVnBds9XnRpxPO7XGmiTNXXfdldZYY40qGcEuzAM31qKPfvSjlTae+1ZX8vvuurmuNX7C+y4JMC0Kw3Yy9z5dqtBzVBO49/ywhhKaJwtjltZj2Wt2Kt7ng8R5zwQa+MP1joCxgkknR90su/tuzhr3+te/fiyJ99QLU3ssQwdP2YuxEvKOd7wjFYEIe7JnP/vZVS51tmfFIK8C2vwQoPngBz9YWdbSN9okmbSgVkZoeZA9NiHacj/sdbL3ZBjfr3rVq8aqiYH+q1/9auy+H89sWbNZY3vc4x5XQeO86jNY+msV0OaH4C6LX/BpXU/kY+kEc/rOO+9MxoYwQiannHJKetaznjV2Rmsteth1qlXwlrl4Z+zW55R7n2YhzOR+6623TvoOf7hAIBAIBAKB2YNAMNBnz7seyZZqFAnFInlrUxfEO6iECwQCgUBg9iKAIPK85z1vDADakhhXYwETeBCmHOAlQ0wh6c5fd7/4xS9SITLXw/v1I57TipYP4Ynme6dDPAboJZdckhDe9tprr9RPm5Q/iEPMUB91QxxrV4Z61Jm5iHn9Mi/blVsnHl5wwQVJXerpEJ9907Ie1s7PzOAXvvCFtO+++1bExpKGwF2p5+9+97sq3rsv8dP9usUWW4wxX+yFEP861ZkZfHgh3L/rXe/qlGzGhhMmqRO7aeohkPXToKb620TPnAnvrYyDu+++u2NzEESL8I9EBJcIMPGHGw6B6b4uDNe60cxtHfdNY61jjcE+xD7Bfd1ZRz/5yU+m448/PtG4Kwy0ddZZJ2266aZjSb/4xS+mD3zgA6l1DJb8J510UqpbfxnLOKQHU78UQWvX88q9KwHDdu0SN1Wu/pxhca+XNay/Ph/+93//97ji7KMEYMx6r/zcZz7zmY7CbxhKZ599tmSJBZ0VV1yx8sdP7wiw2kRTlqDnmmuu2XvGhSlZsSlCLfafmIVlbVwYPdC/TwjZi7HWssEGG4yVgSEnLOdchbGM5JMo0lYBtR9zgn0cjdgddtihFtOfl2AqKw5ysX6lv/Fz2ltnlNc1j+0nyxlJWk5aOJf6uufEDeqmYk+28cYbp+WWW66q4o033pjMze3esbrAu0q48Mc7WHgZ+58ta7Z+4ExdGu4sSoO8HWaEwq2D+jGt7ZLHVf/yeTSM649//OOVBrrwXt2w61TOObHeQHDFM88888xUBNTd1526sgpjDne2MC/U48MfCAQCgUAgMDsQCAb67HjPI9tKGxkbmtJA5mLLRqiETeNrVC0QCAQCgUBgEhCoM3QRNAuTtNdHMR/3zKzAfUcAABAASURBVGc+s0ru4IxIzQQkbS/MdIy6Qw89NBXCGiYuohHiE6n4KmOPPznninFr/ZLl1FNPTYVg6r44xInDDz88YfR+6lOfSq95zWtKVNur9G0j+gxEpNA+ZvpcO2WHMca5eOa0uzEv4VQXPihCcPLWXd3U6ec+97nq+3jeAS2A/fbbr8KgMB+Uh6iv3QiP5buiiP277bZbZU4eEadePmbfJz7xiaSPCLefQEThb3UIgZxwV46/CWcvo5/1WxbTkwi6pf6IULc8aKa9Xpawww47rGrnv//7vyfa9/X4UfDrBxgpOedKY4V2dM65r6Y10d96eeBkvbdB+1G7Ol911VVVMI27Tn2TMAbis4T8NCv527k//elPiTBSiaNtVMZoCatfmxpf6j5RWdLArjzfHFL8w149W/n9lpPz5KwL/dZj1NPrg9bU0k5MIWteue/nikGw9957j2WhnccsOybZ0UcfnWjBvvvd706+Y037HAOdv2TAzMJQwKAoYdY9+5GXvvSlafvtt0/WVvsb+QmFmUtK2tarvse1hrvv1sfXXnvtag6VjuAaTVjj11r65S9/OWFEwkk8RzPX+KEpPSh2yjFOHnjgAd6+3LC49/Owbrgph1ngnBetO4QPFixYIDhhJO20004JjimlhFG63XbbVXGE32hhan8V8OCPe32ENQJp5X8wKi49IgBDgijGOG3WwizuMXsyFldZZZWx5Pbm+vlYQBsPgZP6+KgnMVY+9rGPVftRY92Yr8fb12OMlzCWheyr7V2NPW6rrbZKc+fOTdZmn04xH5T0rdeJ+is8yl6dFjDmPsy0wTkDo7yUycKGuri/5JJLKuEdc4I51J7bXoDgUBFetq+333R2aFcPz5lovE/Fnsz7dUbQLk5/sZe8/fbb3VbOmcV7IYxbBSz8+fSnP13N6cbvwttqztx3332rd+u+qbOcsjq5OhPfOyME0SltP+Hmc++nXR57bX3Y2Cjx7vUNgkE0xw8++OBk3WNR4UUvelEl/JPzonmx5GFdgFl3e0Fny3Z9pKRtd21inSL08PnPf74SSickrh0EJVqfh7GuL2uz/mHctKaJ+0AgEAgEAoHRRyAY6KP/jke6haS7HVA1Mucw3w6HqXPxpEAgEAgEpi8ChaGLqIO5009Nl1pqqYTQTdNbPkQhxCPhNF0RBhC2hIlHaHGwXm211VIhCCE+ID5h7EqDQIDJzt/qEMAQ5rbZZpsq/5vf/Obqu28O8sqhFYEh6LukDvHMNuY8nhiBqVwIOcpHxOiXICFf3SG+Iy4QClAPRBHfiqunKX6aUQhMhAoQ+HIeX7+SDpGHlkq5d/W9WOs5f915h+XdwRUDwTtAqEGQvuyyyxITmCUPs3qej7D4iEc8ojJ/i0CD+LHtttu21XCYP39+2mSTTaoitJE2z+WXX17d1388C8bCXK+77jrehzhME/EiELcQGPnrznPqhDgEWUzuehp+eQkF8HOIr/LyF8d0vvrCCYYEMTA9vHuOXxjTidJJX/KO2hVjR/s4/n7bN2x/87xLL710jFFsvBu7wludOnofw7w349PYKWXbDzMzWe4HvaoXhp/8mH7GE3+rQ0jF1DHmzE80K1vTuNdnfcu0rr2lX/v8kjhp6g7z4eKLLx4L0i7zxljAQo989TGkPONlYdS4f9qH5duW5mLpxiVYeGPsGYMLvdW/uiq/uqn9mOeVJ0h9EH75W93PfvazMesknl3y1NMZm0VIQTi/MP7imlgXSllxbY8Agbh6X7O+nXHGGcnYap+jc2jOuWIU0GCspyrMJlZaML2XXnrpZG9gDqin48dQx3jBiHXPWfuMAYR7+wTMs7POOiu1y689RVDFOmTdUkbd6WfnnnvuWJB1BZOrBKy33nppo402KreJsBqGAQF1DDx1J6xVEojHCCTM9ahHPaoK9oz6mFKnXsYUpkq7dMat8avw1r1UzsPjXh/bnuN5nlV32lTHTZrWOcf+sLwX+0bvkXbrlltumT70oQ+lgg+8jjrqqErb1TPEmUvLe3B1b/+iP0krj7SL382cGmAIE0JRY33QO+Tv1ZkHjL+SHpONkIx5ooS5Pv7xj0/GN791gdYtYcwiUKKfGDvC7VONY/O79HXnHROOcRYo4Z6vLPtrjuUJ+1bj0HxR0rka8/2cA+yn1UdejjbxMsssk6zl1nfnJ+HcvHnzkj7JzzmPmBMIovr8BEEWn0JSpnjOPoKgQMHBfsgcJc4aes4556R2410818SeTDkTuV133TVhiJd0J598cnrSk56UmConpGTOxWxlPaikYRGM4MCcOXNKUGUVzLv1/ry3Qc5yY4VN4LFvOe2008ZSwfGrX/1qgutYYI8e/byfvaR+p532r+UR+j0LatpsPrPu7b777ongt35d0pWrfRKMnC/1Z/vInHMliMC/wgorJE6c9wPvkte1iXVKOYRT7EX1Zed6GuYE5mFCOASmwjDs7e+1Xb5wgUAgEAgEArMPgWCgz753PlItttEphxgbG26kGhiNmTwEouRAIBAYaQQQe5iZYxIVIajfxtIEQbR+4QtfmDAfEVMc4hEtEJEQVhDShCMOIPQgXK266qoJg9snRRCjynMRaGnAYDS1M7WNsIoATdsIU/jII4+sNIYx8WmdqQeNjre97W0VgaGUS8OJObnll18+1QkMCCswoEmBGFDS93JVJtwQ+OptgAdCEsJFuzKZdOYQPFqfo83yKZMQQD0eoRluNEEQ3EocTWmEDURD+HBwRpjHhPcOxG2wwQaVBgECFy1y+J9//vmJgAOmg/IQ8RAw+YvTToQuWJUwhL4Xv/jFCcEbnvLR/nvLW94yRuhDqFIP4aVM7dt8882Tb2zS3lCeshDTyztHjFEeQiNhBGk47ZeuvCv53vve9yZ4YP5Lw2FU6JfKUJYwTl8jUIAYKQ+CEAIUvBBjOfHSST+qTt9CxEb05e+3nYP2N993RHzFPNFv9A/PRmzXN42l0k+EF+d9eC/9vjfvHgMLwY/mYinPHEPjdbPNNkvtnlfStbuWMgmnmGv0Qelc3etX9bEpjjPWjXnOfd0ZX4ipCPL18SMNjISJo43pOeYUY4AgknEvHUcIxPMJtyjTWGsdQ8YJPEsa6QjNbLjhhmPMbGVhFngnnqUcY9M8YQyK5zCrlGUeqdeLiW1EYmnU3xxQf7cwV7bnSsNhxqmD53genJk7NTfX5x1+88mee+6ZPDM9+GcMD7IuPJg9Lm0Q8O68A33KmuQd1ZPRQsMQ22zhONJP6nET+e0FmGW3jm+zzTZJOTnn6mptMNYxXs0VncoypjCZ7AGsaSUdvzD5119//RJcXdVT/9EntU+gq/log4XrY+l7tEr1bZrN0nCEvjBCzCn6J2a5dXSPPfZImEfaRIuQqV0MI30XI9Bca2+EoaBexg0Na33YmMLkVz4nzpgVp3+rrzFBQ7GMKensN4yXssapN6yMW/GceY5QmHlDOcLUcRDc1cVa21oPz4ObMa18V2t0Hbcy5+hLcJPOuoOxiKFo72aOtmezZ4GTNMWp80c/+tF06623Vqb8tdX+KuecaPEqyzwmjbQlX1wnRkCfMhbsja3DcuiP+u4uu+ySvHdhnZx+tdlmmyUCEMZHPZ19sPAyXsQ5Y+gH3qW9gOdYi1iPMEbMMwTIlIvJaF6Xr50TR7Oc8Is2KEM6ghjGjPAyDoVz+om2DnIOsF9UZ2Ndn7WHMNatfzlnxVcu51ydbTBGzQf6pLqpk/kK85zgqnlVeQQInVn4XY1j80Ide3ta89H73ve+pA3Vg2o/g+7JWuteK7KtN+ecaKF714Snnesk1HeMe0KEznvegXj7Nhr7BIztV6QtzvubzDXbu3GWXGmllRKh2fJcV2craw4BKPOJsG7OvKUfm6f63Ut6b5jfxx13XDJ/6g8cPMzFxoJ5nIBFuzrY/5nH28URdCHwwulbzjDWKJbfrGvyDLNOqacyirN26n8nnHBCdZb0zo1puMAblvah5ueSJ66BQCAQCAQCsw+BYKDPvnc+Mi0mYWlTUxr0ile8ItnIl/u4BgKjjEC0LRAIBLojkHNOiLoIyN1Tto/NOSdEUFqOGKIIQA7vCCglByKycEQW6xEmMG0ERAOEGAf9ukOox/iVr5RRv+acE+IVooxyS17azog7mE319PwIdZ5NWr6kL1dlIKggyEvbq1Mm7QKaoKWsctVWxOB2ZTJ7T2O1HcFEm+WTv5TVeqWdgphdrycCGia4unDairic8yLCnngETe2HE2Jgzjl5nvvyDAQwBPd62doJn9Y6KYsGP0IQQhyNVGGlLFf3wkuZnocJ1lpW/Z3TzFHeT37yk4oZr5zimIhUF7jqQ5iVzDGW+HLVfmUoq94WBCHMdYIDcJJeXdwLF19PP6p+hNh99tln4ObpT/32N/3dO8FQgXvd6SfGUuknrRXzXrwf76nX9+bd+/RAu/7hnWMUdHpe6/PLfSnTnFGvf/G3G5vyarsxb+y7rzvjiyYXQddSTutVHOaUPq/vGwPt6iDMvKhMY63TGCpppEPYNf5an3nxxRcnz1KO+bgdjuZv8/icOXOStOpVLIKU8lrfLcyVXeLLVR08x/PgjLisPSW+XDFFMCHmLHxmHcec+18X6vnDPx6BnHPFsNSnC/atV/3SOPLux+ee+C7nRe9L/zOv07JzNcaNdWN+olIwYcxl9TWMX5i41vzqaT3SJ1vbok+WvkejuV27jQFziv6pbFryBx10UKIJbU7RNzHzMAPFY+5iNtgbYTyol3bpu/qwurbWw5gVJ436GhPGRms69TWfqot6t5tXCTKaN5SjPlzO/eOuLtbaTvUwppXtqv6tdfVejWd1lY6zD8Rk9C7gB0d4imvnMD0xEuvvBabCxLXLE2HdEcBEpFHb+r7Mu5hx3nu3EvQr47+sya3ltI6XUpb3Za/OkoK+IZ9+gNHZz/s0zpgvt98zFymHdrl9qXDx5Zmu1jtpPUvautNm65c2SdvqjFt11lfld+Zx9sl50R67nj7nReci84F5Qd3UCUM355wwNTH/lUeLveT17HbjWD2ttZ/97GeTNpT09esge7KcH1r3epmd/Pb89hAwUzfvH67lzKHviF9zzTUrwepO5eS8aC6StpSlPPMibNqd5TqV1RpOUAID37tSZqtTZ/3P3Nmat/XevGXe159by/F+jQFzX2u+cm8t2mabbRLBEOk577OXvo4ZzSILIUTMe4KohMcx442j4upnbsx+Vn3K882r5ld917P1y17WqZK/ftUWQmH1cyos9e92Y66eN/yBQCAQCAQCswOBYKDPjvc8kq20WUM01zhSgr1sFKUNFwgEAosdgahAIBAIBAKBQCAQCAQCgUAgEAgEAoFAIBAIjD4C0cJAoEKAwBdhAFZHfJ6LZQZCUei7tNeLIzhCCI0AE6Y74aSqgPgJBAKBQCAQCASmGIFgoE8x4PG45hDwfcv77ruv0uJi6oc5qeZKj5ICgUAgEOgErIzIAAAQAElEQVSEQIQHAoFAIBAIBAKBQCAQCAQCgUAgEAgEAoHA6CMQLWwCgSuuuCKxFrbFFlsk5tInKjPnnFgxwGhH850ofcQHAoFAIBAIBAKTgUAw0CcD1SgzEAgEAoFAIBCYrghEvQKBQCAQCAQCgUAgEAgEAoFAIBAIBAKBQGD0EZgGLfQpnJ122indddddae211+65Rhjn119/ffVptZ4zRcJAIBAIBAKBQKBBBIKB3iCYUVQgEAgEAoFAIBAITC4CUXogEAgEAoFAIBAIBAKBQCAQCAQCgUAgEAjMDARuvPHG9LOf/ayqrG+f/+lPf6r83X7+8pe/JN9VX3LJJdM666zTLWnEBQKBQCAQCAQCk4ZAMNAnDdooOBAIBAKBQCAQCAQCgXEIxE0gEAgEAoFAIBAIBAKBQCAQCAQCgUAgMGsQmDdvXlpllVWq9n7jG99Iz3jGMxJG+m233Zbuv//+KtzPvffem6677rqKcb7yyiunv/71r+nII49M//RP/yR6JrqocyAQCAQCgcAMRyAY6DP8BUb1A4FAIBAIBAKBQCAQmBoE4imBQCAQCAQCgUAgEAgEAoFAIBAIBAKBQO8ILLPMMumUU05Jq6++epXp1ltvTTvssENafvnl08Mf/vCUc67cYx7zmLTmmmumM844o0p/4IEHBvO8Qmxx/cRzA4FAIBAIBIKBHn0gEAgEAoFAIBAIBAKBQGD0EYgWBgKBQCAQCAQCgUAgEAgEAoFAIBAITDkCT3/609NPf/rTdM4556RXvvKV6bGPfexYHR71qEel5z3veenTn/50uvnmm9PVV19dffc85zyWJjyBQN8IRIZAIBAIBBpAIBjoDYAYRQQCgUAgEAgEAoFAIBAIBAKTiUCUHQgEAoFAIBAIBAKBQCAQCAQCgcBMRYAp9te85jXp/PPPT3/4wx/S3//+98ox3f7DH/4w7bbbbom595yDcT5T33HUuzkEoqRAIBCYHggEA316vIeoRSAQCAQCgUAgEAgEAoFAIDCqCES7AoFAIBAIBAKBQCAQCAQCgUAgEAgEAoFAYPQRiBYGAiODQDDQR+ZVRkMCgUAgEAgEAoFAIBAIBAKBQKB5BKLEQCAQCAQCgUAgEAgEAoFAIBAIBAKBQCAQGH0EooWBwD8QCAb6P7CY1T5mcx7+8Icn7oEHHkj3339/uCnEAOaw5/72t78F9lOIffT1GOuzpQ+YZ/7v//6vml9inol+P1v6fbSzv75ubuACt/5wm/Z4xb6qWvtm83sq47pcZzMW0faY30apD5QxXa6j1LZoS4zV6APRB2ZCH0BjQctFb5nVjIVofCAQCEwfBKImjSIQDPRG4Zy5heWck0Wfu+yyyypGug1AuEVCBZONw+9///sx/F/4whcG/g8Kc0w27lH+1PTvwHl64Oy7Yt/85jer+eXxj398dY13Mz3eTbyHeA/TpQ8ss8wyaYMNNoj5IfYh06oPTJfxMZPr8aIXvah6p+uvv351ncltibrHmhl94B99YOmll67G9Cte8YrqGtj8A5vAIrCIPhB9YCr6wN57713Rc5dYIlgsM5crEjUPBAKB6YTAdKtLzO7T7Y1Mg/rQRp8G1Zi1VXjpS1+att9++3CBQfSB6AON9oF58+ZV86r55fWvf32jZSszXMzb0Qdmfh944xvfmB71qEfF/BDrT/SB5vrAtMBy2WWXrerx6Ec/urrGfD3z5+t4h/EO9YGtt966GtM2+e7DRb+IPhB9IPrA1PaBJz7xiabgcIFAIBAIBAIjikCfDPQRRSGaFQhMIwQOOuigdMwxx4QLDKIPRB9otA+cffbZ6eKLL67KPO6446przDUx10YfiD5Q7wPmhm9961sxP8T6E31gxPoACzTGev/jO+ZIuIWLfjBd+8AXv/jFar4ue/zpWs+oV4yh6APRB0a1D+y0007TiKIcVQkEAoFAIBBoGoHZxUBvGr0RKu+uu+5Ka6yxRuUe85jHpB/+8IfhphCD++67r8LeO7jjjjtGqGdFUwKBQCAQCAQCgUAgEAgEAoFAIBBYDAjEIwOBQCAQCAQCgUAgEJhEBK6//vqKnnvjjTdO4lOi6EAgEAgEAoHFhUAw0BcX8gM8dzKzzJkzJ/3nf/5n5dZaa630vOc9L9wUYvCUpzylwt47mDt37mS+6ig7EAgEAoFAIBAIBAKBQCAQCAQCgUBgmiMQ1QsEAoFAIBAIBAKB6Y3AaqutVtFzV1llleld0ahdIBAIBAKBwEAIBAN9INgi0wAIRJZAIBAIBAKBQCAQCAQCgUAgEAgEAoFAIBAYfQSihYFAIBAIBAKBQCAQCAQCgUAgEAjMaASCgT6jX19UfuoQiCcFAoFAIBAIBAKBQCAQCAQCgUAgEAgEAoHA6CMQLQwEAoFAIBAIBAKBQCAQCAQCgdmOQDDQZ3sPiPbPDgSilYFAIBAIBAKBQCAQCAQCgUAgEAgEAoFAIDD6CEQLA4FAIBAIBAKBQCAQCAQCgUBgaASCgT40hFFAIBAITDYCUX4gEAgEAoFAIBAIBAKBQCAQCAQCgUAgEAiMPgLRwkAgEAgEAoFAIBAIBAKBQGA6IBAM9OnwFqIOgUAgMMoIRNsCgUAgEAgEAoFAIBAIBAKBQCAQCAQCgUBg9BGIFgYCgUAgEAgEAoFAIBAIjAgCwUAfkRcZzZhdCPzqV79KH/3oR9PTnva09LCHPSw9+tGPTuutt1469NBDkzho3HzzzWnDDTdM//M//+M2XIMI/P3vf08LFiyo3sGznvWsdNVVVzVYeu9F3X///enjH/94evKTn5xyzkO7c889t83DBwuC0ec+97m09NJLpze96U3pzjvvHKygyBUIBAJ9IXD33XdXa8H8+fPTkksuWc0Lz3zmM9MnP/nJ9Pvf/76vsloT/9///V96z3veU5XZ9Hxx6aWXpo033rhaz3LOVd1f/epXpx/96EfJfNJal3b35sQzzjijWg9L262P2267bbr++uvbZWkb1lQ5bQtvCWzqWTBqAsOW6sXtNELgL3/5SzrppJOq/q1f55zTvHnz0m677Zbs+XqtalPl9PI8/fsb3/hGNbbLmHzc4x6X+h2Tpc4bbbTRuDlivYV7X5iI76U+UzlOmnzWbbfdlnbcccdx+z3z+le+8pXUa9t7wSfSLB4E9BVr3ZZbbpme8IQnVGusMf7GN74xXXTRRck46rVm1jrjyzjLedHZYN11102nn356+n//7//1WsyE6ep1VtecczU2+123Pci+Ze+9906rrLJK1facF81tBx98cBInTS9uKseJeh1++OHVfFzmNjjYx5jzen1nymmi7b3gE2kCgd4RmJ0pjUf0tPnzhztDWZetz+hEaHU55/TYxz62Wsf72a/18hbMxU3s/5sqx9zXxFmsl7ZL08S831Tb1SdcIBAIBAKBwGgisMRoNmvqWmWD0O1p9913X7foiAsE+kLA5u6zn/1sRTDdf//90yMe8Yh05JFHpmOOOSatvvrq6WMf+1haYYUVEqLJmmuumf77v/+7UWJJX5UdwcS/+MUvEmIW3FdcccXkHfzyl79cbC11IPvEJz6Rfv3rX6evf/3rFcOpVGaJJZZI++23XzrttNM6ur322iutvPLKJUujV4dDdbvnnnvSqaeemk444YRGy++5sEgYCMwSBKwP5oHll18+7b777unaa68dm///8z//sxK2sT6cc845SdpBYPnmN7+ZvvCFLwyStWOeP/3pT+kd73hHWn/99dOjHvWodNNNN1X1u/3229O//Mu/VMRpTHvEqI6FLIy444470itf+cpqjsZU++Mf/1iV87Of/SyZp62RiPET7duaKmdhlSb8b+pZTWE4YYUjwWJD4Mc//nGyr9tqq60qoRLvXGVuueWWdNhhh1WMJ8ycifp3U+V49kQOUfPFL35x2mKLLdJb3/rWpM6EcMxT11xzTbVv/eAHPzghA/iSSy6p2k5g8L3vfW/63e9+V41tAqMYgzCBjTK71cnzm5hruj2jxDX1LHM1IvxKK62UCC0hSj/wwAPpb3/7W/rABz5QCSLA4MYbbyyPjusMQ+APf/hDJWhq3fqP//iPMYFTfcj7ftnLXlaNIem6Nc0aaTxZ644//vhkDSzpr7zyyrT55pun1772tel///d/S/DAV2W8+c1vTi960YvSs5/97EpYW7+84oorqrGpLYRnJ6qzChAQcBb59Kc/nQ455JBkjuAI4X7qU5+qzik/+MEPJO3opnKceJb3ZK914oknVgKL3pX2m4Me+chHJkIE5j5zYMdKL4xoou0Li4n/QCAQaEWgz3vj2t7EuB72DFX2WW9/+9uTM4i5QXXuuuuudPTRR6fVVlstnXnmmYKGduaeJvY1TZXT1LmmF2C8syb2R021vZc6R5pAIBAIBAKByUPgz3/+8+QVvrDkYKAvBGGYf1KKmGlLLbVUaudsmLhhnhF52yOAcEajziG9SOtjKGJsbrPNNunyyy/vS2K//VOmVyhG5E477ZT0qQMOOKBikCAmIh4ev5BYQrtw3333rYgmNoOIJ6GB3tw71LcILGAiIZA0V/LwJW2wwQYJsaaU9JSnPKViSmH4d3IEAAgFsGZQ8jV1pXlOkKOU96QnPal449oHApE0EOgVAcSYTTfdNN17773puc99btpuu+0Swvs//dM/jRVhU/m6171uIMINRh2ikvVnrMAhPbThdtlll2T9evnLX57+/d//vdK+U+wyyyyTvvSlL1WEaEJimEXSi2t1iPkYdN/5znfSDjvskBDiMeOlM2/TvFtjjTXShz70oYrYjegirtU1VU5rue3um3oWTJrAsF0dI2x6IIAp9YpXvKISBNGPEUuN9dLH1dK43Hnnnbv276bK8byJnPnipS99acXsP/nkkysGurnIPv0FL3hBOuussyorSsZqt7GtzptttlnFlPv2t7+dXv/611fnLc9/4hOfmI444oh00EEHVdhg1HuuuFY3leOkyWeZ17fddttKuOjss8+uBIpyzgmW5vijjjoqEZDaZJNNUqe2t2IR99MHAeuAfkvY1VmW/21ve1t66lOfOq6S+oE46cdFPHijzxlHhGje//73V0yb3/zmN+maa65JW2+99YOpUjr//PMrixUY1GOBfXrU4Q1veEPCRD7wwAPThz/84ap/5pzTM57xjMpKhr2HNnWrs8ca38rCaDdP2J+YI7hXvepVlQCuOP1bWnnaOfhM1TjxrLe85S2V4MC3vvWt9MIXvrAajznnSpAJLsYmpv8222zTUWBBe5poezs8IiwQCAT6Q8C4tq8a9gxlXNuvPeYxj6nmL/RK7rjjjquUXNTKfG1e7mbBULqJnHKa2P83VY61oYmz2ETtLvHe2bDzflNtL3WKayAQCAQCgcDkIEBJ4OEPf3hFB2jHe8WX/etf/1rRDNIk/QUDfUhgmeKhZe5FtXP//M//nGiCDvmYyF5DwEHagZwmHW2U5zznORWhAPHwJz/5SZozTGHZzwAAEABJREFUZ05FhHegXWedddINN9xQyz1zvb/97W8rE7wI/7TsEEoRGOot0t9ooSMmCqehQiOBP9zwCJiol1tuuYqASeNn+BKbKwEhnSn3fktEhEWMHyRvt2ctu+yyleY7Qh7mFc2XbukjbiQRiEZNEQK0D401jCaa20zB0hTHcELQoMVV9iLWSkIz/QhXITAQuGHVpMkmffnLX05f/OIXK+sZhL+YP62Xb01jKYN5VOmkr8fzWxOZP8U8N4/tscceyeZaXHEYE9rsHrEfLvx111Q59TI7+Zt8FkxgA6NBMexUzwhf/AgQjHzf+95XMWbsZ6+77rrknWNAG9s0IOsCfcY6hmprzZsqp7Xcdvfmi3322aeygkSwDyO9NR0GISs1wvVfbeKvO4Rs45nW1vbbb5/mzZtXj678Oef0zne+M6211lrV8xCpq4iWH+V7zlSMk6ae5T3usMMOldAs5qg2tjQr0QJ+3vOeV7VdP4k9fytC0/feOkCABKMVIwDDG/OVINmCBQsqwYj58+ePNcAa18maE+sE3/ve9yrBakIlzPs7r9AOV94pp5wyRo/42te+VvWXsYL78KgzDUp1MYaZnG/NznIMAXdjTTrrs3yt6ZxrnT+Mb+d6TPLWNBtuuGGlfS+NtPK0ppnKcYIRtueee1ZjkkChtrbWx7mKJYDHP/7xSfvPO++81iRJO7RHu4Zp+0MKjoBAIBDoG4GmzlD2LAR1rdcY6WgfFBo4wjTolOY0FSTQbG7mH9Q1tddoohxzvLnenPfkJz852bsNchbrFYum5v0m2t5rnSNdIBAIBAKBwOAI4H0RAG7HdxWGL0uBL+c8+EMmyBkM9AkAiujphQDtipe85CUVY07NbExJ29NCyTkn3xlCXMBEF0/ynhk1+dzPZPfTn/40/fznP6+aAAOMheqm5SfnnEijkn43wdBCb0kSt4HAOATmzZuXmE9GvBsXMeQNTRSEPBoWFrwhi4vsgcAUIzBzHvfVr361YrAde+yxYxrcpfbWCgTfk046KeW8aEP5X//1X+m73/1uSTLhldl3THnryoSJe0yAgW/9lhxBqc4oEFaccPHupZePvzhElEKEIkBgPitx9asymLYlQOD7hq2MpqbKqT+zk7+pZ8ECJp6jfbDib3XCxQuXXj7+cNMfARqO9nG0OZ/2tKeNq7B1lSYkM8CFiY4hQ2htXMKFN02Vs7CoCf+ZizbfSEiYtVUwRji30UYbVRqr/MYk5hR/cddff31iCtW9/YRrO+ew/PSnP72Kkt4hurp58Ed/1+/dGgfGA3+rEy5euPTy8ffj5JFXHmUpk7/VCRcvXHr5+ItDjGbCmrl6ZxqWhEpc/YqBR+NL2De+8Y10ySWX8IabAQhgkhsn1u2ieV2vtj5/8cUXj7MuZa0nOFNP5x4TwDpYxkE9PudcmW5n5UU4QXTP5u/XycfqgXyE1J2/+VsdYQ/jWzjBlauvvpp3nGNVzVqYc05MHbcyWyQWJi7nXAkUyCO8uKkeJxhgmG3mWwJ7pR6t17lz51ZmmoWziOdad9oxbNvr5YU/EAgEBkfAvLrKKqskczGB23pJ/ZyhmIBnnv0jH/lIZZWiXg6/vQrGcs6LzmLoeixGiuvX2TPYO8hnL2FPwd/qhIsXLr18/MW5F+5eOun5W51w8cKll4+/OPOZNcj9MGcx+SdyTc372qAtnqdt2sif0vhf4eKFSi8ff7hAIBAIBAKB2YVAMNBn1/ue0a3FDGYqzgatNITkO0nvcu+KQM50HD9HY66TRor4meJ8w9WGsZf6wsQGnfaB9veSJ9LMXgRyzpV5VVYdZi8K0fJAYGYigMGCwc36CGbKWCtaPK997WsTs4Il2Hf5ir/bFcGctRdu5ZVX7pa0rzha4Bj5MnUTCkO8Ei+d9DRv+Ytj9hXT0D1N15wXEabc1x2iGIs1wi688MJ02WWX8Y65psoZK7CLp6lnNYVhl6pG1GJEACOYhvluu+3WVvu6VM0nG5ixLPe01O2Zy31T5ZTyJrrq3ywgSbf22mu7tHU+06DuIjGlfB6HvzhCfbS03PO7tnM55zGrE4jR9bZLP5XjpKln3XzzzemMM85Q/USbmLZvddPmhwa6edIZwWeGvO82ySJomiFgHcIktzZ3qpo1nRWWnBetawTCWZOop/cpJsLiZSzV44pf/yjraAkb5KrOv/71r6us1lMM7uqm5YfFrvI8Y7gwVkoyQkElzCee9PES13oVJ43wIlTCz031OIG15xLA0wb+di7nnAg4pYV/BBwWXsb+5Wui7WMFhicQCAQGRqCpMxTTshjirF2hw3WqUH0+65Sml/Cm9hpNlWPf18RZrJe2NzXvN9X2Xuo8pWniYYFAIBAIBAKTgkAw0CcF1ih0MhC49dZbUyvhvN1zHOYd6utx7TRS6vEzwV82pep66aWXJod3/k4Oo8O3IoOQ1gmhCK8j4FuDXD0s/IFAIDD9EcBUpnX9ohe9qGtlEdCLBL2Et912m0tXxxTzvvvuW33jsxuRv2shbSKtSzTvShRtteIv1/q1Hk9YQH7xCF9lX/CYxzwmWfeEt3M551SYeRhNyinpmiqnlNft2tSzYNAEht3qGnGLFwFMY++Zdmq3muScxwnH6GPylTxNlVPK63bFHGKSWhpamt0YvznntOaaa0paOWOyXm/7+Spi4Q+z0532vffcc0+66aabFqZKlSWOusa78qZqnDT5LBYD7rjjjqpNNNrMb9VNmx/CjwRmRf3whz9MiMv84aYvAoQ8aJfvuOOOydrcrabGiHcszd13352MMf7i1ltvvfSe97yn3Ha8FoZuXTu6Y+I2EeqsX5Yo9Sr+dldW4Uo4s77mpXJ/1VVXJc49wXefxONv58RJIw4Dm3U5fk59pnKcFMaYPcRZZ53V8TuLzuyEgtSRGX3X4rSbc69d2sffzomTRlxr24WFCwQCgeEQaOoMZX71WRrm2rvVSDpOGsJvPsHH349raq/RVDnmdvOhNtirDHoWk78X18S831Tbe6lvpOkPgUgdCAQCgcB0RSAY6NP1zUS9HoIA4liryRzaKg70rYnLxrSE+x4CydByPxOv9Q35BRdcUH0D0wG+U1tyXkRQDQ30TghFeCAQCAQCMx+BFVdcMfk++UREeC2l7ebK0Wxz7eZ8jxVDppM5wm55u8Vh6BWTrogtRbusUx7x0omXT35+hC/fheb3vVGMAf5Orm7eFpOvMCKaKqf23I7epp4FA1h4EGxgxN/JiZdOvHzy84ebvgjMmTMnHXTQQamTmeR6zZkTxrAWhiBbZz43VY6yJ3LGVC/COaWcull6mvPylziCQUyeurfvpV3dbt+LoXbFFVekJZZYIr3pTW+SfMzp5/q7AP3fOODv5MRLJ14++fl7cdLKI60ylMXfyYmXTrx88vM71yAQ83P1edt9qyMwYB0Qzjy3svjDTW8Edt555+rzSRPV0lptLEhHs7uMc/e9On2KMLn0xkjpL+57dQRVaMD3mp7Vl1JXlmzqeX1CpoxlbTNndSpXnDTi5ZGXX5umepwQCsh5kTUA2vBnnnmmqjzEEY6gqb/sssumV77ylePi1V87BGqX9vG3c+KkESePvPzhAoFAoBkEzIWTdYZqV0MWJa315gaf4GmXZqIw+cs6bw9hL9Etj3jppJFPfn5X9/zipePv5MRLJ14++fmbOtcoayLX1Lyv7trgedqkbfydnHjpxMsnP3+4QKAFgbgNBAKBEUYgGOgj/HJHrWk0Txwe6+064YQTEiJ4PYy/lVmO+OQQKm6mOhLohRChDR/4wAcSE3CtmIgrjsbgRObrYeW7ibQXCR7knNOSSy6ZmANkiqqU1e16++23JyZGEXlzzgkxb+ONN06+2cmcZmteUp+f+tSnKk2hnHP1Xd6cczr33HPHkpY0TF3l/I80G2ywQbr33nvH0hUP4YpjjjkmMWFYJPtpauy3334V8TnnnEjyH3LIIRNq7ysTrjT9tQMeOeeEQL333nunVnN80rdzylCXHXbYIa2xxhoJEcQ7RDBWjvq1yzdVYQjVvqvp/XV6pnH3la98pTIhmvOi9+D9+hbyRERy7deHtB+hqdMzvLuDDz44sZjg3Xqm9wQrfZJpagemen7Y+ebjC17wgoQphsjOeV/em2fX04c/EBhVBMxLxkC/7TMndctDe8o8ZQ7tpkXarYxOcXWBOPMyQnuntMLFS8dvvpCf3yddytyw/PLLp4nWeeWYV+RVRtFca6oc5U7kmnqW+sPC82CjbfydnHjpxMsnP397F6HTAQFrWqtFpV7qRfsHo62kbaqcUl63q32F9blbmnocoZci/EOLqU6UtO/deuutx5J/+MMffsi+136MlQwm4+0rN9poo7H0PPq5/s6v/xsH/J2ceOnEyyc/fy9OWnmkVYay+Ds58dKJl09+ftqrtE35OXtG107OvGcdKPE/+tGPijeu0xQBAi60D0vf77WaxgthsV7Tl3TXXnttOu+885I9v/GScy5RPV+dy37729/2nN6ZsPRvZtzL2FYOoZdS0ET9W7p6GnmVsTjGyQtf+ML0r//6r6qUHnjggfSud70rMQNcBTz4Q1CAJiqBns9//vPV+e/BqKTe6l/u6+0qYa3Xehp5ldGaJu4DgUBgMASsnZNxhmpXG+eV448/vqKzuU50DmtXhjB7BXsGfnOsvQR/JydeOvHyyc/v6p5fvHT8nZx46cTLJz9/U+caZU3kmpr31V0bPE+btI2/kxMvnXj55OcPFwiMFgLRmkAgEOiGwBLdIiMuEJhOCCAatBIaEMww3epMdMw3DLRSdxKe7373u8vtjL0yAYchXhrg4O6bl9tss03qh1hZ8rtiHpCMf+9735u22GKLRNvw0EMPrcwJYqozz/fZz342dWNGSrfKKqsk2gW+qYsBussuuyTaQsoksYkBc/rppycOAUd5CKGIfHXTvOpUHOKvNDSSCEqU8PrVu/7MZz6TEFnnzp2bMGpt4qWhaYHwjPlaCD423XvssUcifMA0sXTtHA0eRCbmjp///OcnDGZ4X3LJJUkbaSD85Cc/aZd1LIzgwDve8Y7EtOK6666bfvrTn1YY+Xbh+uuvnxBX1llnnYTQMpZpij3ev08jdHosAi4M/+3f/i15pwQifIvRuPvSl76UmBX1/lvzO1hgiCOeORwSbGjto4jeX/3qV5P379196EMfSnBnLcL78Z68X7gfffTRqW5J4aKLLqpMNRMgOfXUU5N6yvv1r3896VPwxYDXz1L8BQKBwBgCBFrczJkzpzLLzt/OGXvGvG+mb7rppu2SDBVGA6OMTwI5xSxqp0LFSydePvn5y3zPj4mEKcHfyWGeW1vEY/TREONvqhxlTeSaehYMYOF5sIERfycnXjrx8snPP5JuFjYKcwqTKuecNtlkk4ERaKocFTCPGGf8nRwmU86LmHnqX/Zr0ueckz2cfZh7+wH73rI/sId5wxvekOz5Dz/88EqQM+dFZWn46iEAABAASURBVEnP6ef6O7/+bxzwd3LipRMvn/z8vThp5ZFWGcri7+TESydePvn577zzzqRt/Dnnak/O383RUi7xyrGXKvdxndkI0PwuZvmdS5ZZZpm+GqQv7b777slZj0Bsva/0VVBLYnNFS9C4WwKwXAks+3jnxAULFpTgZD8ydtPBU08jrzKaGCf9MqPRIZyTCUSrqnOl+faII45IBNKdRwjyOgedffbZlWCwdMWpt/qX+3q7SljrtZ5GXmW0pon7QCAQmHwEej1DtauJNR7dA83y4osvHhPEaZd2ojBrvPKks4ewl+Dv5MRLJ14++fld3fOLl46/kxMvnXj55Odv6lyjrIlcU/O+umuD52mTtvF3cuKlEy+f/PzhAoFAYBohEFUJBCYZgSUmufwoPhBoDIFVV101YVy2FkhjBcPs2GOPrQ6vzLlx0tHC4cfEcz+THcbAgQcemOqS6NqDGELz7uSTT67aL6wXh4H51re+tUqKubvTTjtVmgm77rpruvzyyxPBA8RKzMxW6foq08IfJjOVgUmOkU06ExNjn332Se973/sWpkgVcx8BdPPNN08cJjeCg0hEIEx6/m6OZDDGR2samuFve9vbKk33lVZaaSwa0cKz9t1334TZS+KXuf9ChMD89T2+sQw1D1ww/n3LCXOWBqZ65pwrjXlCBgi2rQzhWhGVwIF3RboYA115hYiE+MIcMolnxKQ999wzqV89/1T4bf61EZGn3fNuueWWhHH24he/OHnP73znO6v+wcwZpjmiN2I3AY76wQlx54ADDkgEHwgRtCtbGM18fbquSaO/IYIrG876tbQwK0wvWrH6nHHP/GX90wa00fVXefQ5pqf5wwUCgUCq5hmCRbBA4CV4xN/OEU4hXW+uMk7bpRkmjCBRyW8OKOO7hLVexUtXwuU3h7mWMGuWdOW+3dUaUCeAmMebKqfd81rDmnxWve2wmajt4qUrdarnL2FxnR4IDFKLst6xwlMYzoujHIJzRUtHf++XyNi6H7L/sr+t7+M//elPJ/OXvaF9Bq1Me9iyz6q3u97P9X/joB7f6hcvXQmv5y9hna71tMpQVqe0wsVLx8+V/BhkhA+E2f8UPN13cvaUJc681opjiYvrzEPAGMKsdubZaqutKqtdvbTC+DMvsDCGYUPIFPNGeC/5W9NYO1dYYYWx4Prefyywi6cILmNaO2uVpM6Qxd/pWk8jrzKaGCelTp2e2y4cPYJAsT2HeGU4e5iP1l577eRcCxuW3HIeL9Cj3uovH1dvl/t2rp5GXmW0SxdhgUAgMHkIWFN7PUO11sI+5YMf/GAiAMjcOcUQ63Rrul7vy15BensIewn+Tk68dCW+5C9X4eKl4+/kxEtX4uW3nriWMPOidOW+3bXdWaxdunZhTc379Tpr00R1Fi9dqVM9fwmLayAQCAQCwyAQeac/AsFAn/7vKGr4IAIk5m0+MdceDBq7OLxi8DH3TdscwY15Z9rC8+fPH0s30z3M6F544YWJ5nK9LTbhvqNEI5h2rs1sPb7VLx5j+Hvf+1765Cc/mWBbT8PkvW/kCcPUJG1fiHnCOPcf//jHE2Y44kydkYmIiRFfCHo2yt6F52LMLrfccooY2nkO06TeO0a1AjF1fZMO0x+hicSodK961asSZrU06oGhzl93whFmMdcxyesa/yWd8mjGl7aV8PrVplodhNGMbtUEsgGntS8ec1p6/iadPoFYRuu/1RkbL33pSxNt8nbP9G4JQMBSW7W5ns77fvnLX14FYWQzzw47AfPmzUuY4AQ7jElh7Zznb7nllkkfKgy673//+4n2me+cEjrAhPc+zjjjjKRc5Xg3LALwk0J2rTvEK/cEJxAK+cMFAoFASqxNXHbZZZXpQJpoZdy1YsO6BuEj5pDr83prumHur7/++mGyJ/kRpIoG+aCFEWJqqpxe6tDks2DQyzM7pRk2f6dyI3zqEaDlbW/oydbu1j2d8F5cE+XMmTOnEjYszyPEivBc7ge52vuef/754/a+5jP7T+aUWwVL688Ytp/3k7+ftPU6Fn/JT2PYPqyE93uFjbmm33yRfnoiwHKXMUSotfX8167GzsTWekKlhGkw4KXDuHnZy15WaaJLI6wfh4Fezi7y2WObM/j7cQR3B8lXniGvMpoYJ5gxpdx+rt6Dua0I+sprP+E9YZx3OiOqt/pLP4iTVxmD5I08gUAgMDgC1lXzKkGmbmeo+hOMVVYY0X3Q0sShq6FzUPK58sorBfXtyl6h74wPZij5y/XB4L4v8ttrNHEW6/XhTc376t7rM9ulGzZ/uzIjLBAIBAKBGYzArKh6MNBnxWsenUYy146o36lFiAMYcJi3b37zm3sye9iprOkajpF48cUXp/e///0PqSIiCeIISXgb2ockeDCAZDwNQxr9q6+++oOh/7jknBPTvSUEo72YrSphNH6++93vVrfKyHm8lL16FiYrIqdDR5V4En5yzqnODNJH6kSe8kjfrivptKcVI7gwWZ9zTsyvtzKOSzkOQu3KL/HyPeYxj6luXd1XN21+YIPJ3iZqqCDlbr/99pXWP238uvPNPn2o0wOYqqdlTiihThwq6WlEMSNZ7jHqaceU+3LtREAq8a7Kchjlp2XBlHvBa+mll65MsvpOZM6L+ledMVD3y9/qaMO3hsV9IDBbEaAxhfBgbkNUb4cDYrIxuNlmmw1lBrpd2REWCAQCk4OAvRirLvZcxu6gT2miHEy2DTbYYKwKhN7szccCunjsB+bOnds2BWEe5k9b9xWszRAgpZnZNmPfgZEhEJg+CPzqV79KrGHNmTMntRNobVdTjG1nPJrQmO5lT13Sfv7zn08+zVQEX0v4RNecc/LZr5LOnOOzSeV+oms3QZeJ8k7H+Pnz5yfCwo94xCPGqkcw4e1vf3si8M8/FhGeQCAQmNEI9HKGqjfQecpci/GOJknJpR5PAcHehWJJPTz8gUAgEAgEAoFAIDDVCPT2vGCg94ZTpJomCOScK4Yac+HtNNFVk2QnIgNG8m233SZo5Bwz6b63hijZTkuaZCsCZqf2Y45isNI072QaksYP5i/waCJ7Fn9xzL7T8i33rdecc9poo43GgovZq7GAxeBBnC3MWloCrcQjmtpwYYKUib5Bq4ixi6iCgOLqvlNZTPHBt1P8oOHMLGJqa2Or894w0Otm78tzpGU+3XXdddcdJ5hQ0rgSvnDlSB6X7zO6H9QRSiCc0C0/ywBf+MIXEsffLW0Q1LuhE3GzCQFEeJ+uIOzUySy7MX/00UcnGhM00Iuw0WzCKdoaCMw0BBBp7QftMw466KCEgT1IG5oqx7N9ZqVYGrKnonnVjplEy5oFm7IHskfrVH97SAICBCH32WefVD8D2Lu95jWvSQSEPH9Wu2j8SCFw0kknJZ8u+uhHP5rWWmutntr2kpe8pNoj2yf7VJO9MMHi+pgxZwwiZGoMOhuoiD2DTzYp333d3X///clnrDCPhOecE6FY/lFw2n7OOeck2uYE2rfbbrtxzTLnEVZsFdQelyhuAoFAYEYg0MsZqrUh9jKsPZqHWf5DR6OoQfCmpGW14rjjjiu3cQ0EAoFAIBAIBAKBaYzAtGWgT2PMomqLGQHmuGlYMwleDvHtqkQCn5noUZbsJM2KOELDhymoOg7MQjGD3WoeHMP20ksvrZJi7uacq+/p5Tz+aoN/zz33VOn8tOKIKCqcw0B1bXWY8IUJ04542pp+cd4jcjAhrg69MHKl6+Yw4A8++ODkWtIhuNB833HHHROt/hI+1VfaKOuvv3466qijKnPO9efrL8zKC2PyPufx/SLnRfebbLKJJJUjjMDyQ3UzyT/qjlDF8ZfHeX+IdbvssksJimsgEAgsRMD4ROSm7UArjSbnwuCH/GNQ0Urz2YQnPOEJD4lvMoDw1jDlWfsQp6wxw5RDI66pcnqpR5PPagLDXuocaaY3Asccc0xi4YeATK8MtnYtaqocZdtDEeQsDDtr8xvf+MZUBO3sQ5k/fvGLX5wIdMrDEeprp4HukzgY5xtvvHGihY4o7dvO9X2vPRXGfSszbyrHSVPPYo3nkY98JEgGcgQoCdoOlHkxZ4rH/wMBn1M58MADk/3uTjvt9I+IPn0EU+znabKXMencdvnll/dZUko+kcZSF414mY07AtuEqp1xnPWuvvrq5LNZ9hM5Z8kSwWTj243+veyyy/IO5Ah+K085w44Ta3K/ldDOww47LLH24TNUznrmz3PPPXeckIC5ypkEJuUZ6txE20t5cQ0EAoHJRaDXM1QvtbBHoMBAyaektwfyaYZy38tVOb2k65TGGUpcE+WYQ5s4i6lPL84c2sS830Tbe6lvpAkEAoFAIBAYHQSCgT457zJKnWQEfHfmkEMOScyIt5pzrD+aZOc73/nO1EpQq6eZ6f6ccyIogOnJxH29PYQIaC3Y/JdwWJCCdY8wgxDQi9trr71kGXN1JgzT8QiiY5EPehBtisb3sBvVB4uctMvdd9+d9BcPIKSR8yKij/thHeLJKaeckphTpCHm21mIwZ3KJZxw++23p26uHd6dyusU/sxnPjMVLbGSBlGNpLV72hW99A1pWvue/FPhEOSNcWbePe+Tn/ykS7hAIBB4EIGzzz67MjOKwfbc5z73wdDxF+uCOf5Nb3rTOMsh41M1d1dfPwi/mCO7lS5eupIGEZ+/tZz6Wie+1dF4ZYFDeM7/0IhrqhzlTuSaelZrOTDq9mzx7TDslifipjcC9n37779/4oZZg5sqp44WCzE+71K0Tu0nMNByztXnlbbaaqvKohTtzZLPpyUwx8q96xlnnFF9igaBlrn2IjhHgFa96+0mTEoAyJ5EXm4qx0lTz4JBwc18Zd7Slm7OHrbEy1uEV0tYXKcEgcYeYk1mxWrttddOzrul3w/zAObct91227EiCPSO3fThsY/wuYciwOIs/uxnP7uyCuHM96IXvSjRVKflXsbic57znITx4TFLLbVUqgvp1fuu+Haunoa1DWU0MU76xVV7vI/dd9890fR3nss5V4LotNGvvfbatM4664w14Ytf/GJi1asEqHcTbS/lxTUQCAQmF4FezlD91MD8hRZUmMCsRfbLQG9qrzFZ5Qx6FusFx6bm/aba3kudI00gEAgEAoHAaCAQDPTReI8Nt2L6FocAvN9++yVmaGm0zJ8/PzmsIpotv/zybSsuzjeI2kaOUODjHve4hEm72267jWuVsMIwFwHD++67jzdhllaeAX4QS4oGAi0GJgZbi0H0Q/xDUEFoaI2fTvfMndPQbLJOTBiefPLJFaGI1v8ll1ySaICuscYaFaGp07NYWEBo6uZob3XK32s4LQjf6iPoUPJ4X+XgA5MSPt2uDpwI5xtuuGHacsstq3lgm222Gdh87XRrX9QnEGgCAeYCfdKEtQnjpVOZ1kjEdEI1GFZMIrdztMxKGSx2lDTnnXdeMt+XuImumGGFwcN6xUQCQeKlU27OORXCfV0wy/yqNmLFAAAQAElEQVQtnTSdHCJVIcQjwhQBvKbK6fTcenhTz2oKw3rdwj9zEGCufOedd040U2k55pwHqnxT5bR7OC1U49Leh6YmTVqEY9Yu7D9ZssFYlzfnnNzzF2fM0zb3aaZ3vetdqXWfX/a9yi15mENdsGBBuU1TOU6aepa5qRB37cfMW2MN6uCxJypR5sf6d5lLeFxnBgLOaQRB7MdpMWO4NFFza659sqvy6n3GfUq9/zp/E2Zn7cyYNgaNcYz1P/zhD8mchPFUSjQXYB6793kwY4Wf66Ue9TTz5s2r9vpNjJNSJ/XoxdknYaBLu+uuu1b14C9O3b797W+nuoYpjX0CEdI01XZlhQsEAoHJRaDXM1S/tUBDMyfK50zSyxovbXHmzzKP2ydNdPYRL538Of/jDNVUOU2da9RvItfUvN9U2yeqb8QHAoFAIBAIjA4CwUAfnXc58i0h9c0cHA2U0liHV5poRQO7OrCWyNqVqXJEvFrQjPJiTiA4TlRpkvQ0cEnBl7S0mW+44YZym5hlL4yOTprjY4m7eDCBMV8l8QyaBog+7otDRED8k64ukV/ip+v1zjvvTA4bw9QPAQkxmElR/RYDS18dpsym8yIc0d4ughDKR+QpbXdwFDadnHngtNNOSzTZjGlmXGm6sBowneoZdQkEFjcCPrvBbDLGkzk4584MNkRhFi8QwTfffPNK47Pd1fdYS7uYLS1pdthhh2QdKHETXVdcccVUmNf33nvvhHmVLZ1ymW41/vkJ0xUtjl7mbUSqsv4pY+7cuYpJTZVTFTbBT1PPagrDCaob0dMQAeu0vQWBl4985CPJ3m+QajZVTrdnqxsByn333bf6LvMee+xRaWgKZyWJFrn8tFppoPMXd9VVVyX7kJxzoolbwutX5WBoMQcvHGOe6Wt+birHSVPPmjNnTvJu1Z+bSJjRns1+SFquWOThDzezELDHdWYgnHbCCSekuQ+uUU21AoPXGqq8IqTBP4iz7zYujWnf+TXGN9hgg7TUUkslgtvnn39+Vay1/l//9V8rvx+MHxYk+Dlj1rWbq6fBvPeMh4yT3/ymWxHVuW7YcXLBBRckZRDe8QmYdg8k8MDijz2GeIKH5RzeVNuVGy4QCAQmD4F+zlD91sI8wCqHfCzGYArz9+qa2ms0VU5T55pe2t/UvN9U23upc6QJBAKBQCAQGA0EgoE+Gu9xVrQCEe1Tn/rUWFtt1miflgBEBppz7ZjozDxzJe10vrarG4I/wQHXdvH1MNrEmCD1sGKaXJiNp+8V8dPexzTh79flnCuzgggn8jJT94lPfCIxEUvz+mtf+1qiQcEkMOImIqd009U5vDjEqB8T5nVijbB+HEYPregLL7wwMZeI0J1zZ+ZVa9m01BHRurnXvOY1rdkauYeDPqQwhG0Edv7p4nxjELb6EyKjcT9d6hb1CASmCwLGLcb52972tspMcs69zz9T0QYE/CJUhak90XwrXjp1Q3RinYMfgbpoPtCkxUQX3skRGjOvisesM9/xN1WOsiZyTT2rKQwnqm/ETy8ECCoy7YwRdvjhhw/MPG+qnEHRsZ8lWGg85pyTvSTGU708jCf39iRlrLpvdfK9+93vHguu73mncpw09ayc87hPaTj/jDWujcees2jdY+yZI9ski6AZgMCZZ56ZTjzxxGSvS0Ou6SpjenPKLWsnf5POmMZAJvimXJ9pwKzgL85nrDCR3FuXCYHwt3PipBGXc07l7J/z1I8T52b1cI52nuZv58zPzirizHX2J/xcp7aLa3Wd2t6aLu4DgUCgOQSm4gxV5mGCTN32N+1a1dReo6lymjrXtGtra1jOzcz7TbW9tX5xHwgEAoFAIDC6CAQDfXTf7ci1DDOyHMY1jgZ0q0YvIhpTckUjTTqu9fAqbCY530tjJp3J3F7qTdq/joHNecnn0L/CCitUt5gS3/jGNyp/tx+EVsTNQjgoaTEx4c1Mued9+ctfrszZIXYec8wxiWlOhCDvpeSZrlfMc4RH9aOlT7OZfxB30UUXpWJinRZ6IRINUtZU53GgKAc5DHQaYhPVwUHzPe95z1CfBJjoGeIRiQ877LDEnCsC8aqrrio4XCAQCNQQMB4RbhGsfaezEGlqSca8hJ3M770I7SCKH3jggWN5ze/CuFtuuSUtt9xyY3ETecyJtOOlk78wyty3c+KlE/eWt7yl0nDjN1cVzTZWPwoTSVw7Vyy5eP4WW2wxlqSpcsYK7OJp6lna0ASGXaoaUdMMAWOVyXYCoYceemiy1+pUReOFCeh28U2V067sXsMIvH7961+vkrOQMaxQIKFa+1AF2pu6clM5Tpp81gte8IIxKx0shBBO1Z52zl6e4Kc4zMVOmrHiw01fBDDPfcKJQPIqq6zStaLGtjHeNVGbyLvuuivZSzvv2Ee3STJ0kLPq5z73uaocliFYqKluaj9rrrnmmFUJ2ur2LbXocV5x0gik8c7xc9N5nKy33nqqWDlzQ+VZ+NNU2xcWNZ3+oy6BwEggYL7p9ww1SMOt2/LVhXnd9+LMJ03s/5sqp6lzTS9tl6aJeb+ptqtPuEAgEAgEAoHZgUAw0GfHex6JVrYybx/1qEclm5/WxiGi2Yy2hrdL25pmut4TFEAQZJ7dxn6iehIYQFyRjoS8by3xc76/ttZaa/FWjhZvN6YDAo00iC6EFqpMtR8MeCbtEO+YmZTes5nuY1q/G/OmVkzlRdStPC0/9fa0RDV2C+MNN9xwrDxCAYhMYwF9eJiuL8m9t+KfCddll102lf7iXR5wwAGpW5/zzoo2HMGNyWyjPvazn/2seoR+lfP00qqtKhY/gcBiRKCMR2OxF+3U448/PhH4WRxVxuixXns2ATGf++BvdTSwvvOd71TB0m+00UaVv/wgIlnn3CPcu7ZzzK4WgSCWaupEeOmbKkdZE7mmntUUhhPVN+IXPwLWY3sx2tX/8R//kSYSTLQPIRjTWvOmymktt597wnm0UuXB7N1nn33aatI/61nPkiT9+c9/rkxCVzcT/OScU8lXkk7lOGnqWTRYN9tss6oJNND/53/+p/K3+yHwSfAz55xYHpnJ55127ZsNYcbEnnvumU499dTkcwbd2uxbttJaG7ulaxf3ox/9KBE223rrrZP1tF2aYcII0/k0lHOgdZklsnZzlTDWuTzr1ltvTeY1/nbOvp/QkDjCNpg1/NxUj5NyPnLeLVrx6tHNEVZQz5KmqbaX8uLaBAJRRiCQ0lSdoX7/+98n5xU0l7r1nH7eQVN7jabKaepc0wsG5tMm9kdNtb2XOkeaQCAQCAQCgZmPQDDQZ/47nDUt6JURibGOeVAHpvXwWo+bCX71R4j43ve+lzArbfA71RtxFEO7MCN8H3q11VYblxwBomjq3HTTTelVr3pV+sUvfjEujRuMa0x7TBbf2WwlytEg+uhHP5poJaqjPP26et2++c1vplLvUo46eH4JpzGpjSW+qWvOOTE3v+SSS1ZFXnLJJenoo49O7Z6FEYOZKyEikTryF1dnOHsXrWUw5Ve+h1fyNHJtoJCllloqIX7lvIg5rc+94Q1vSOrcWvzdd99dEWsRttppmLSmH/YeEb0QDAnUtAp+wBkRctjnRP5AYCYiYF3oVTtV+zDYaLzVtaSEN+GMxUsvvTSpj6v71nJZu6BtJxyDvGiYua+7G2+8MWGwC5NePv7iCHZZ09xrTydG05VXXlmtc0sssURl1r5Ve7epcsyV1sv3vve9qVPbm3oWLGCi7cNgKH+46YuA8cP6ir3Ql7/85TTRfst+jvBbq7BJU+XcdtttSR//whe+kFr3PxOhaDxjnBHKXH755SuGYSdT1TRkC5PvlFNO6fosTDZ7BHtKGp71ejQ1TsyxtIO333771KntTT0r55xY9kFgN6fYH9fbVPzw98kk96xxrL/++rzhZhAC1qbXv/71yWfKaNZ1qzpLBM6BmOxlDXMuwoxRjj7aKT/GO4a2McU6Tc6L9vn19OYI61a3tbuevu7HmPfZKsxwZ8yvfvWrXYUBWIGxFjrfGd+eXS+PX9hZZ51VncWklUd4cTk3M07Kc4xtc6fzTXlG/fqKV7wiOY+r8+mnn17Vqx5f/MrzTtyvu+66CcOHvzjt0B7lDNr2UlZcA4EUEAyNgLnTvIemMZGFHw9rd4byWcTzzjsvdTqHyMeddtpp6Zprrkl77rlnMg8Ia3UT7bOa2ms0VY52NHEWs9+xv+x2hsq5mXm/qba3vru4DwQCgUAgEBhNBIKBPprvdSRb5QBabxgp9141hOVtPbzWy5rufkIBCI3qiXi38847V98ad9/qENE/+9nPVsE0e9p9fxxRcu+9967S+MG48C28DTbYoGIaM7tOIhZRk8YToi2/tMXRiME0RTDhL4zNEt/rlfRnYVojDO+///5V27zbs88+OzH/h4BYhCIwUoQjBCEa9foc6Zj+RtTgb+dYLnjHO94xFvWhD30offjDH051QgrCEMKHA1Za+If4geiFAIJovTAo1QlgzBj6FuB9992XaCzst99+ianSIoyA4Cufg9tll10m+0AO/hj7JTP8EKjLfT9X9aPFVPLoU/DHSPeOuK222irNnTs30ejUPhoVJX251t9P3V/iW6/SdHs/+mAZx9rmcOU9aDtGv77i4JrzIqIgXEl5e2eIjq3Pi/tAYFQQMG7M1T6dQbgEA8mnOjo5nwUhXPWSl7xkQk3WQTCiEan8I488MpnjEZralYORJp3xjGBlHqyncy9c/HbbbVcJ99Tj+XPOCTNg9dVXr7RUjz322AQPccURakIUF26+bmUsSpfz8OVgZqmnZ5n7tR1TX/l1l/PwzyrlNYFhKSuu0xMBfchndBAWrXOdxrXwJz3pScl+zlrJ1VvURDnGEk0jfdw+0R7JuKo/p5PfJxRYJrImI7ayfjF//vxOyRPipj0ToRfm3o877riHjG2ZnQfURzrp5RNed02ME3sfDDb7cG0nvGKOqj+Hv4lnKQdGCOz85vdWoUHhPqXhE1f2+/b+hakqLtz0R0Df9VkSZ5pddtklGcPdHO1rAr7mgdI679+9sy7T7/bBrWPSWY1Ahv7hE1P1T3uVclx7XbulrTt985WvfGX67ne/m5zZrPkEOuppWv32IWXcGtvtBGCFiZszZ06ytsvTWk4T40R9nXGMbcwbAg3munbPMucJt8Z3Emwx1xGyUe9PfOITD/nchnY00Xb1CBcIzHQEFnf9zZfW2GHOUOgMLHv4dB/6iLOAebfeNs+xZptjjjjiiLTrrrvWo8f85p5e9llN7TWaKCfn4c81vZ6hANXEvK+cJtqunHCBQCAQCAQCo49AMNBH/x2PTAtJfWPilQZhEjiwl/ty/eMf/5h8L7DcI6hhtCEalLCZdn30ox+dMA/VG/GEZjQiKUIh4gKJV4f/t73tbakwI5ioRZws+eQtLuecEGpol5cwV0SZHXfcMdlMOvj7LjjCDE0H8XXH5B6GratnwTfnnHLO5eBcXQAAEABJREFUiXltxBlEIEwNhEZmAx0cUsvfOuusk4rEqqh99tmn+o46U/Obb755wtBm6lOZ4jHBtRvTlva3MExS2kf8HExan+UeRjbn0tAAR4zmLw5T24GGYEAJO+iggyoGE2IHrS/tgc+LXvSikiQhlFx33XWVVoJARCPp+NUXwXWppZaqvmfpW74Y5dolnnPgIkSAcOV+EGc8XHzxxWNZHdpYCMCUHgvs0cPag4PkNttsM5ZDOxDfMda5k046KSF86x/t+pjDHzP+pQAaLQX7Euad0NAgRCDMeyORzd/OIcrVccM0X2mllSrC1Ktf/eqE0Mz8pbEhv/cij/dhHhA2iS6KDgQWCwLGEUEpAj/8d955Z2Iho5uTZs5CgrSxMRmVJlhT5mdzx9VXX932MdY2mhisfzA3bW4xn0vs6l64eG00N4lrddYbTAFCUHvttVdCsEbMko6QDcK4+QIT0tqXcxb1EDdsOYSt6vsPbVdv82Hrw4Z9VimvKQxLeXGdXghYxwnt6Uv2t93GtTj7wZwXWdTJ+R/9vKly7LvrfdyaXcZaJ+TEE1xh7UId7ensCTH7OuUp4RhZhDpptNqf2s+rg7kO85qVH3tQYRht0pe89WsT44SGb71Mc1NrmPgmnqUcDoH9qKOOquZ01qLgXdqOoW//aB9k79NuL6aMcNMTAcxzZzYCJfqysTGRk85+t+xztcz5q+xxnckwcAjROSvSkiZ07bMGxp+9uLVHvnau17W75FUfmuaYGcbC6173uuQ8Zi0uabpdX/va1ybCMc5f2uXc4NzC8QsT58zR7ixayh52nKizObaUR3CYIEK5L9ecF52fnQ0JUGuv/UbROCXQCw/vVb3Nu53q3VTbS93iGggEAv0jYD21Tx/iDFU9FJ0K7aq6WfiDToWRjgZEycJ6bQ4++OCDk/PI+973vopmtjDpQ/7tZ3rZZzW112iqHGvLMGexfs5QQBt23ldGU21XVrhAIBAIBAKB0UYgGOij/X5HqnUrrrhi8k3XQiSgkYbZ6fBebyimcZ1Yj2hHo7aeZib6maVEHMQY1XYbc8xH2jwIKQ7rNug0ABz8ERVtZDu1FSOCBCztcYzSxz/+8dVG3lUZJGRp8NJoaFcGzUX52sUhQvz617+uCH7XX399ZerSoQHhs/V9qQcpft/0RPBxANEeaeV1RYSgNX/CCSckbacxj0mSc0401p/+9Kenn/zkJ2NVwWCX3oEIMQMRhCagPCURIjOCkvKVWcLVB9EJMxvThsCCOISSTTfdtBLOYOIctvDDnEE48czllltO0iTOAQLzh/UADqNKmdqJES9ugw02SPozwhMil4NAVUCPPwhM2o8IDd/CiC7ZP/axjyXvc7PNNqtMhZXwXq7qrI9h9qt7wUEb4SLcAXDevHnjikPcJRBBA058idQf1ZNwgoMhjOGEsFfSYLjBRJ8u767Elav0MIQZ7FZeeeWEkIXoiNBmnvBeMAe1Ac4IhgiMpYy4tkMgwmYqAueee25lKaPf+m+88cZp9dVX7zdbT+nNt8agxK4E4PjbOdYrTj755EQAyFxqjsk5J1f3wsVL1y5/CTOfmHPMpbTCCIDlnJN1hSCNtc5cYY4vedpdhymHoJX5tl6utaZ1bi7xwzyrlOEKGxjBCmawy7l/DJUVbvogYF9jDbOn6qdWGDZ1BlZT5aiDNdd+g5+zv0aA5K87RGlr/W677VbtQ3zuh/Ch/Zu9u/W5nr6TP+ecttxyy4QxyPw0Bt+qq65a7Z3sS1hTwpA3zgiR5vwPoYHWMocdJ+pRnz/sWQiStj7H/bDPUgaXc072qT63ZG9kf27vQ+iSoONnPvOZimE5f/58ycPNEARYiaKhiHneT5W9dxagcv5HP2e2n3Uue3Nzv/JYvDLOnEUw1J1VmH6faC/c69ptncEIIthOiMOZ0BkHw3ju3Lmq0LMjGGIPr587IzjzcfzCxEnTrcCchxsnym+tNwGHds80BxDGW7BgQXJ1NnVuzTknV1bbCL2IN2bblVHCPFf7tFN7tZvjFyZOmpI+roFAINAsAk2doShKEKqzT3n2s5+d7HHQaZxH0FPQmpxP0O7QSLq1otd9ljKG32soJVXKIk2cI4Y51/R7hsp5uHl/Ucuba3spL66BQCAQCAQCo4lAMNBH872ObKtoljDfjTCukUytIcjR/nXQZb4QAQ2xURoS64h3Of+D0CDfTHSYv9tss01VdZtl2tmk8xFhECo5xDxhDuwY0VXiLj8558rUJ8Y884Fwc1UGoigiQafsDgZM6zI9iICHMIMY9LznPS8xN18c4gpin3KYxnJQ4a87daVhRTsboxrzHfEBM1Q65jh949G71nZhnMMKZqk6a3/dIRirkzSIDxgL9Xh+TA2M3Dlz5ihuzOWck3YQSCCwIK0rnAgyaLu+hWk+b968SvBgLPODHgcI/dP74WhYKDPnRX1RPFOHDlf6Lw3JnBfFPVjEhBe4ab9viqpjO6fevh84CHFV+czRq7tylI8oBxfh4lsr6TkOkN6h9HUn7POf/3yCGcKQ+3o8PzwIwZR311q+Z+orMJNW2xGwjHdpc170XSyaenD3DlqJYtKFGzEEZnFzaDEZC8ZPPw6hBKG2H+iKhobnWCM65V1rrbUqYSOEI2PUfae0wnPOCQHe2mMdU76re+E59zY3mh/MpbRbCybmAXPWRAQr9Shu0HJyzsm6aP7BYEA0w1zstpYO+qxS13LNuRkMS3lxXfwIGDf6kvHQj8PIqu+VmioHIvqzfTjrM4Qc2wn+WZ8JMWL+S2//RQvd3sAeSjn9umWWWSbZzxPSMzfAw9jWVqbUxfdSZs6DjxOffqAhZR/E6o/9bTeGZM6DP6u1LfaM9sXmFW3n4Gwv1a0OreXE/fRAwLgwhrzHfpzPQdWFY7Qm53+cWfRN5dmzE1Zx7iLA1m0NUkZx5gqaj53WbuctZ0wCxYRHnIXuueeeRFC5fsYp5fV6tYffd999E6az+nP8wsT1Ws6g44QgNiEdlskIG8Ch9WzYWgfnXOdAQhBlvwF31s6cV50VW/O0u9c+7dRe7eb4hYlrlyfCAoFAoBkEmjxDGa9ln2J/Yl7wLXNzgnBzRi+1tj5MtM+ql5NzM3uNnJspZ9BzTc79n6HSQiAGnfcXZh37z7mZto8VGJ5AIBAIBAKBkUMgGOgj90pHu0E550TLFIGAxDezjaTraZhhyn384x9PCAvipHnzm99cmRMfbVQWT+topyOiEGpAvKSJwOw7YiYiRHEODg4QtGeYPUeUWTw1jqcGAoFAIDA9ERjFWtGEI7zUK2NrlDBAeGf9w6dCWIeZjRiM0vuMtoxHAMNWv6YJnvNDhVue+cxnVlaBEI0xgWjEE2YcX8rMvNMOc5tPTGCgs2Q0M1sStQ4E2iOgf3dau2kIEnJ11nPuI1SC2dO+pJkVSsiAwDZLaQTKnVlnVguitoFAIDAqCEy0zxqVdrZrx2w6Q7Vrf4QFAoFAIBAITE8EgoE+Pd9L1GoCBEh1k+5GnCPtTVqb4xcmTpoJionoARGg7U/7gMS+ay/FrLjiiolWMcJEL+kjTSAQCAQCgcCMQCAq2QaBH//4x8mnLnbZZZe2VkraZImgQCAQmAEI/O///m9ippX1GwzFGVDlqGIgEAj0gIAzKisyrKv1Y7Wmh6IjSSAQCAQCgUCPCMQZqkegFm+yeHogEAgEArMKgWCgz6rXHY0NBIZHgIn1PffcMzFZx1x3ryaACThceeWViVbD8LWIEgKBQCAQCAQCgSYQaL6MH/zgB8knVw477LD01Kc+tfkHRImBQCCwWBAgqLvlllum9ddfP7HAtFgqEQ8NBAKBxhH4y1/+kt7//vdX5YbgWwVD/AQCgUAgMOUIxBlqyiGfpQ+MZgcCgUAg0B8CwUDvD69IHQjMegTuvPPOdPnll1c4+IYuE+3VTZcfJtyPPfbYFAz0LiBFVCAQCAQCgcCMR+CKK65I++yzTzrrrLMS09WT3qB4QCAQCEwJAnfffXfabrvtKuEYFpVyfqj5+impSDwkEAgEGkWAcPjuu++eVl555XTkkUcm5twbfUAUFggEAoFAIDAhAnGGmhCiSBAILEIgfgOBQGDKEQgG+pRDHg8MBGY2Ao997GPTc57znKoR1157bVpjjTXSAQccUGmkM31XRSz8+etf/1qFHX300Ymp929961vppJNOSv/yL/+yMDb+A4FAIBAIBAKB0UMA0/yCCy5Ivg89eq1rvkVRYiAwUxBYeuml0xlnnJHe9KY3xWcZZspLi3oGAj0gwJraUUcdVX1qLJjnPQAWSQKBQCAQmAQE4gw1CaBGkYHANEQgqhQIzEQEgoE+E99a1DkQWIwILLXUUulzn/tcetnLXlbVgkbORz7ykYpZsOSSS1ZExZxz+ud//ucq7KCDDkr77bdfOvHEE4N5XiEWP4FAIBAIBAKBQCAwAghEEwKBQCAQCAQCgUAgEAgEAoFAIBAIBAKBQGD0EYgWzlIEgoE+S198NDsQGAaBuXPnJhp2l112WaWJ8/jHP36sOJL7z372s9Nee+2Vfv7zn6ebbropbbHFFulhD3vYWJrwBAKBQCAQCAQCgUAgEAgsTgTi2YFAIBAIBAKBQCAQCAQCgUAgEAgEAoFAIDD6CEQLB0UgGOiDIhf5AoFZjgCG+Ate8IJ0yimnpN/+9rfp73//e+X+9re/pWuuuSbtv//+lel26WY5VNH8QCAQCAQCgUAgEAgEAoEmEYiyAoFAIBAIBAKBQCAQCAQCgUAgEAgEAoFAYPQRWIwtDAb6YgQ/Hh0IBAKBQCAQCAQCgUAgEAgEAoFAIDC7EIjWBgKBQCAQCAQCgUAgEAgEAoFAIBAIBAKBwPRGoAkG+vRuYdQuEAgEAoFAIBAIBAKBQCAQCAQCgUAgEAgEmkAgyggEAoFAIBAIBAKBQCAQCAQCgUAgEAgERh6BYKCn4d7xr3/96zR37tyO7r777hvuAZE7EAgEAoFAIBAIBAKBQCAQCAQCgUAgEAgEGkAgiggEAoFAIBAIBAKBQCAQCAQCgUAgEJjuCPzxj39Mj3/84zvyXvFlb7/99kltRjDQh4T3yU9+crrjjjs6ukc84hFDPmGC7A1F//nPf07rr79+5c4444x09NFHh5tCDG677bYKe+9Af2rotUYxgUAgEAgEAoFAIBAIBAKBQCAQCAQCo4JAtCMQCAQCgUAgEAgEpg0CV111VUXP/cEPfjBt6hQVCQQCgUBgVBB47GMfm+68886OvFd8tOWWW25SmxsM9EmFd+YU/shHPjJdcskllSPVseOOO6apcPGMRTgTtCj4k5yZOT0nahoIBAKBQCAQCAQCgUAgEAgEAoFAIBAITIxApAgEAoFAIBAIBEYJgbXXXruipT//+c8fpWZFWwKBQCAQCAQeRCAY6A8CEZdAYAAEIksgEAgEAoFAIBAIBAKBQCAQCAQCgUAgEAiMPgLRwkAgEAgEAoFAINsbdeoAABAASURBVBAIBAKBQCAQmEUIBAN9Fr3sbk29++670+qrr165e++9N6211lrhphADJvQL/kxPdHtXzcVFSYFAIBAIBAKBQCAQCAQCgUAgEAgEAoFAIDD6CEQLA4FAIBAIBJpG4Kabbqpo6QsWLGi66CgvEAgEAoFAYBogEAz0afASpkMVll566fRf//Vfldtkk03S1VdfHW4KMXjqU59aYe8dzJ07dzp0ielfh6hhIBAIBAKBQCAQCAQCgUAgEAgEAoFAIBAIjD4C0cJAIBAIBKYhAiuttFJFz503b940rF1UKRAIBAKBQGBYBIKBPiyCkT8QCAQCgQEQiCyBQCAQCAQCgUAgEAgEAoFAIBAIBAKBQCAw+ghECwOBQCAQCAQCgUAgEAgEZh4CwUCfee8sahwIBAKBwOJGIJ4fCAQCgUAgEAgEAoFAIBAIBAKBQCAQCAQCo49AtDAQCAQCgUAgEAgEAoFZiUAw0Gfla49GBwKBQCAwmxGItgcCgUAgEAgEAoFAIBAIBAKBQCAQCAQCgcDoIxAtDAQCgUAgEAgEAoFAYDAEgoE+GG6RKxAIBAKBQCAQWDwIxFMDgUAgEAgEAoFAIBAIBAKBQCAQCAQCgUBg9BGIFgYCgUAgEAgEAoHAYkMgGOiLDfp4cCAQCAQCgUAgMPsQiBYHAoFAIBAIBAKBQCAQCAQCgUAgEAgEAoHA6CMQLQwEAoFAIBAIBGYyAsFAn8lvL+oeCAQCgUAgEAgEAlOJQDwrEAgEAoFAIBAIBAKBQCAQCAQCgUAgEAgE+kTgL3/5Szr88MPTH/7whz5zLrbk8eBAIBAIBAKBWY5AMNBneQeI5k9/BM4999yUc27MPfWpT02333779G/4Yq7hCSeckFZZZZVGcD/ooIMaa81tt92WXvKSl6QnPvGJ6fTTT2+s3CgoEAgERgMBRImTTjoprbfeeunRj350NYfNmzcv7bbbbunmm28eupHnnHNOetjDHpbe/va3D11WtwJuvfXWvgkrTbX9/vvvT2eccUaF4ZJLLllhCMttt902XX/99d2q3XdcU8/6+9//ni699NK08cYbj713dX/1q1+dfvSjHyXxfVcuMkwrBLxD73LLLbdMT3jCE8b65Rvf+MZ00UUXJX2p1wrrx/rz4x73uKqcnHNad911q33F//t//6/XYnpKd/fdd6e999573J7KnHTwwQcncT0V0iaRvDfddFObmP6D/u///i+95z3vqbCw7+6/hIfm8L6aGpP2fjvuuGN68pOfXNUx55ye+cxnpq985SvJvPfQp0fITENAfz700EPT/Pnzk7k750Xv+JOf/GT6/e9/P3RzJmPtNudM1lo5yB7A+fajH/1omrdwz5NzrvYqz3rWsyZlnDTVdu99MubHFH+BQCDQNwLW7Sb2WaUce3Dnh5xzNR+98pWv7Hu/lgb4G2T+bPeYQcrR9ve9731je5WcH0rHfOQjH5n++Mc/JnvQds/tJ6yJ/ZE6N7Vf66fuU5c2nhQIBAKBQCAwLALBQB8Wwci/2BBoPSTnnKtNGMKija+N0GKr3CQ9eIkllkjPfe5z03bbbTfm3vKWt1SElvJIRIN6/Dve8Y602mqrlei49ojA1ltvnW688cZ0zTXXpMc//vHjcr3//e9Pp512WkeHYY4ANi5TQzef+9zn0ve+973029/+Nn3oQx9K//M//9NQyVFMIBAIzHQEfvzjH6c111wzbbXVVhXT9E9/+lPyd8stt6TDDjusYmCR+Ef4Fd6vQ6Qw7zzwwAP9Zu05PcbepptuWjGHbr65heHfpZSm2n7HHXckBC5MyfXWW68i8NhP/OxnP0u//OUv0+qrr54w/gbFsN6Epp7lPVvr119//fSoRz0qYSqqs33Sv/zLv1SCAJiDwWiroz+z/LR03vSmN1Xv8j/+4z/SnXfeWTXAu8fAetnLXpa22GKLCYVO9IEPfvCDVT8+/vjjq/5dFbTw58orr0ybb755eu1rX5v+93//d2HI8P8Y+yuvvHL69Kc/nQ455JCEUc3Zy3zqU59K4n7wgx/09SAMp0984hNp2WWXrfZhfWXukPib3/xm+sIXvtAhtv9g76WJMWkcY5KvtNJKCWPfuzb//u1vf0sf+MAHEiEIgg/2q/3XMnJMBwS8469//etp+eWXT7vvvnu69tprUxFi+c///M/08Y9/PK2wwgoJA1zaQeo8GWt3U+tXa3sG2QPA5eijj06ExK3V3/3ud5MwZ6U3vOEN1TixN7JPaH3eIPdNtX0y5sdB2hN5AoFAIFX7pyb2WfX92je+8Y1kPwBfa/eFF16Y7NcwmMs8L64pN8j82e7Zw5Rj3TrxxBPbFTsWNmfOnOScNRYwgMcc38T+yPtpYr82QBMiS68IRLpAIBAIBKYBAsFAnwYvIarQHwKI1kcccUR1SN5///3TRhttlP785z9XDmMTYRHR2wbYBra/0qdfaoRCtVpnnXUq4j3hAES+4hAl586dK0nlaCeXONcvf/nL6Re/+EU6//zz05yFm1VENwTUKnH8TIjAs5/97IqYXBKSmKV5adPfye2xxx7p6quvTl/60pcq6duSt4krIlopB2N/qaWWKrdxDQQCgVmMwBVXXJFe8YpXVOvEGmuskRADMKIxVAssiDc777xzouWG8FDCe7ki9GBa/dd//VcvyftOg1mOAYhBjVFgre+1kKbajmn41re+NX3nO99JO+ywQ8X0K/ituOKKlXYubAkRDIJhvT1NPct72WWXXRJm6Mtf/vL07//+75V2smcts8wy1TpEA+aYY46pGG7Siws3cxDQV4wNgns0z/nf9ra3VfvgeivOPPPMiokufT28+L17TFdCNPbLGE2/+c1vEkFBQoMlnf0iixUY3SVskKtxiXllL37yySen173udZUGFgsWr3rVq9Kpp55aEaw32WSTJO1Ez0DkJLxiz0tjU3smytNLPAEjjEvzYy/pJ0qjXk2NSe902223rQRjzj777EqAIuec/umf/qkSpD3qqKMSYjUMtWOiukX89EPAO7ZW33vvvWNC0hgs3nGprXOu8SNtCev1qj82vXabY5peKwfdA9jLEM5hoWGDDTZIGDfWa/hYAwkgENYhAGeP1MtcI28n11Tb1aPJ+bFTfSM8EAgEJkbAuLa3GnafVcq54IILEjrlDTfckOyzaDfbo5eafP7zn68Em8v9sNdB58/W5w5bjvkYLRb9ksUcgmHtnDOq817r8/u5tx4Ouz+yPja1X+un7pF2diEQrQ0EAoHRQGCJ0WhGtGK2IGBThmiNAGjDw+wPIt8///M/J+69731vKpsxG2AbYRvZmYwPrQGm/AgN0C4fpC0550qjbs8996zMZTKZNEg5szXP0572tL6bnnOuJGtZDOg7c5cMiOYYIXvttVfFzKFd2CV5RAUCgcAsQIB5V9oMPjuBWHPdddclwlNnnXVWpUmKoEz4p0CBmIzpUu57uWJqK7OXtP2kscYhfGNg3XPPPf1krdI21Xb7C0w5zHNEH4JQD3/4w6tnlB/MS+Zh3X/4wx9O3/72t3n7dk0+yzv54he/WFmi2XfffSvz7fUK2RtZL+wjpJO+Ht+HP5IuBgT0FYKStLQRCxFiEScJSixYsKBins6fP3+sZvqvT9CMBdQ8NJhZsKHhak/JBPhyyy2XCAoq75RTTkksHcnyta99Lf33f/8370CO5icC6V133VUx9TF4WwvacMMNqzhppJWnNY17Qp+0S1//+tcnc1vOWXAjzlkCkXuYtrZWxBgz1oy5YcakOZogD8a+c89aa63V+qj05je/OT3vec+r3pU1AFYPSRQB0xYBlgMIs2y22WbV57WKkLS1xfnVWl3GpH5g/enX8lTTa7c5qcm1ctg9AEa0ceYlGwPMJfMXl3NO7373u6txMtFcU/J0ujbVdnOdOU990CqGmR871TXCA4FAoDcEjOum9lkY45RVaHDbe6Mh2We9+MUvTuedd1464IADxipFe/p3v/vd2P0gnmHnz/LMpsqxLz3uuOOqdiqTCfh2Dj239YxV6tLLtan9UVP7tV7qHGkCgRmKQFQ7EAgEHkQgGOgPAhGXmYEA4h+idant3Llzx5nXfuITn5jq0p0IiUxVIpCVPDPxishYJ5AO2gZmOZ/0pCcNmj3y9YkA5jbMf/3rX/eZs3NyzJDtt9++kmp+ylOe0jlhxAQCgcCsQeBb3/pWZYqZ4BhiTb3htD196oOp0MJER7Q9/fTT68m6+mk20mDbddddUymja4Y+IlnR+MxnPlN9c/ykk05KrK30kT011XbEGExEz8bMmDdvHu9DnPWYoB5mBgLQIAyrpp6FkUKbWCXVq9M+Qbh46aSXj392uZnZ2gULmeTGxbHHHjumwV1vyTOe8Yx08cUXJ8TZEv7Vr361Epwp966YcQiF+vjTn/50QeNczrmytlP20LTGPXtcoj5uaJfr5znnxGpPO0KpMHE550oQQJ52jzDWaLvS6EJwZkWjXbpBwjAXMS19+miQ/K15jC1jTLgxZ+zxtzrh4oVLLx9/cQj6zNwjrrMexeJRiatf7TNhI4yp2EsuuYQ33AxBwFgl+GZ8E9CqV9t+n+Cz8Z/zIqERFmCYJ6+n6+afjLXbuDaPeG4Ta+UwewBWMuwfaOijCRAKUq9WZ5zQVBSu/hg8/P06eZtou7lOWTkPPz/224ZIHwgEAuMRsNcxz5qHWfpwbqqn6HWfRXsb7ZEQo/moXga/cgnOOEO4/9WvfpWGpRENM3+qQ3FNlWNus3Y5d5aym742tT+y77L/Uj/7Mfsy/lYnXLxw6eXjDxcIBAIzAYGoYyDQHALBQG8OyyhpkhFApKaBgpBWHtXOhDXzqiXe1UH3hz/8Ie+Mdcyy24wO2wAM19VWW23YYiJ/HwjQKqDd1UeWSBoIBAKBQM8I/PWvf61MlrLG0onpqzDWMAoB2T1NTsRn/m6OANo+++xTaW/RAO2WdpA43zEupmpdi8n0Xspqsu1MTBMs8NyXvvSlHT+/gcnxnOc8R7LkW4aXXXZZ5e/np6ln0VLEUPHsbvsE+wfx0knPMgF/uOmPgD6GePva1762Y2Uxh2g65byIyYZpxjJDPYNP+TDlbx6oh9f99X5SD+/Xz8qRvbd8hDY7MbXEi5OGvzCM+evOnLD00kuPBdX9Y4EDeBDNmXfmVl555QFKeGiWpsYkQvwZZ5xRPQBGT33qUyt/ux8a6N4dovKRRx6ZzIvt0kXY9EKAcAQBjo997GPJGO5UO4K4TI+XeJ9eKP5u18lau5tav0rdh9kDsBxhjlQWQQR0Af52jnBeEQAkiAP/dum6hTXR9qbnx271jbhAIBCYGAFzSBP7LJ/DYQWj23pdP0NMXLOJUwwzf9ZLb6IcjOXjjz8+vetd70rMttfLb9Lf1P6oqf1ak22LsgKBQCAQGIdA3EwrBIKBPq1eR1SmGwI2pb1I3RdCXCmLGSUSpQhLJWwmXRFOaOg0UefHPOZV9DvlAAAQAElEQVQxiRbhiiuu2ERxUUYPCJBafec739lDykgSCAQCgUD/CDDpjGFCa6Jb7pxzqhPhEY/l65ZHHLPRP/7xj9NHPvKRyky4sOnimmo7LApT2TrZjZmWc05rr712BYF9BQZIddPjT1PP8u5ozJTHtjPvXOJc6/HqLL/wcNMXAQIuF198cfKJAwzSbjVdc8010worrFAl8e1JTJrq5sGf9dZbL73nPe958K7zhYaUWNpTgwpcXnXVVYlTDk2rxz72sYm/nRMnjThMfnt9/sl2mIv77rtveuELX1hp3jfxPGOqqTHJssYdd9xRVct7MC9VN21+vHcmYkURGEZc5g83vREgzETo7UUvelHXihr7RftNQmZxXSdyk7F2N7V+TVT3XuOvvvrqxFqG9CuttFLqNk4IkZvXpB1krmmq7eZGTj3MfeZA/nZOnDTiBqmzfOECgUCgMwJN7rOcw9DtOj8tVcK5rO+khX/Wduv3Qu9I/Pv0j3WN5RSf0mA5h2U0FpCabGAT+6Mm92tNti3KCgQCgUBglBAYtbYEA33U3ugIt+enP/1pwgyfqIkY6EXCvKTFeEdoL/cz6crU5pOf/OTGqkxz7nGPe1xj5UVBgUAgEAgEAosPgTlz5qSDDjoo+YTJRLWwlpT1kVZnIeJ0yuf7rDRbMZq6aVR0yj/Z4U21HcHnhhtuqKpLg60Q2auANj/W5RLs29StzMoS1+7a1LPsaTAPPAPTwN6Hv5MTL514+eTnDze9EWCufP3115+wkjRYMeMkZIqzjHP3vTqEZMIy0r/pTW9Kgwpb2nMTLlGOOplr+Ns5cdKIk0de/sl2viOP2UwwiOWLCZ7XU7QxZWxJbKwZc/ydnHjpxMsnP7/3gEDMz9GMc+3kEKrLu8JMVFantBE+fRDwzvbff/+EQT5Rrep9wFifKP1krd1NrV8T1b/X+J///Oe9Jk3mmqIVaa4pTOxeC2iq7eY4z/dcc5968bdz4qQRJ4+8/OECgUCgOQSmcp/lvFDmLQoWhGSaa8niKwmTnPZ5qcGf/vSn6tNcW2yxRXJWe9WrXpVKu0uaQa5N7Y/st8peyT7MfqxbfcRLJ4188vOHCwQCgUAgEBhZBB7SsGCgPwSSCJiuCPhW2KB1832h0MiYGL3rr78+MfGLGJdzrqRkmY70PaP777+/YwFMNh188MGJed977703Mbd/yCGHJARc2kzME9rwthZgc+37fzSjPFNaBKUddtghqUtr+vo9DSvf83zBC16QMDMIBXAbb7xxuvTSSxNCQz39VPq11aGoG3EGnr5XSfNEu3POlXYnE6sTHTAKbiSdYd+pbeL6eS8wU2f4+xQCoo13+LSnPS3tvffeCeadnhXhgUAgsHgQMO8RjOr36bSsMdo65aOhiXn+spe9rDENzU7PGjS8qbbbX5i31QOBHdGav5NjgtHcKP6mm25KRVPU/USuqWd5rjne8xDg1Im/kxMvnXj55OcPN30RIOBSzHP3U0sCIARB+skj7bXXXpvOO++8RGuI0EzOWXBfjlZPXYvc/mGiAupp5FXGRHmGicdctKfZb7/9UpOCQcaUsaVuxpoxx9/JiZdOvHzy8/uUBG1Tfq6Oj/tWZ74iHFXCfdO9+Bdd43c6IuCdOb/0Wzf78255JnPtbmr96lb/fuJ61cZXZus4meisJU/dNdF2c5s5rpQ70diWrp5GXmUIDxcIBALDIzDV+yxCMBiwPruFVjR8C6ZHCZdffnnqtvc4//zzk7XrQx/6ULJGDVrrpvZH9lv2XephH2Y/xt/JiZdOvHzy84cLBAKBQCAQmD0ILDGjmhqVndUIkGwcFACEcRKfg+Yf9Xw2sgiJTLySriRBirG97rrrJgQDmkhbbrllqr8DfmnkQay1Iab5ct9996UPfOADaY899qgY6Q888EA6+uijk+/UFRwxar/+9a8n0pxHHHFEOvTQQ5P3gyiw3XbbpWOOOSYxWadO6lbyletFF12UMH98YxNzH6HRs5Vp805bCwPfc0qeqbza3HcTAMBseeUrX5ne+973JpK5NKFgQAsFU50p1s9+9rOpXn84XHbZZYkEL2GDrbfeOjmAwbfetkHfC6b8O97xjkSYwXtn8cH3QX1HFZ5M//t+oG+r1p8X/kAgEJg5CJCY//Of/1wJR22yySZdK05Ayfzv+8BNaWh2feAkR3Zru3aWxyOyI6iV+3ZXzPMifGDtIqTXLl27sKae9ctf/nJsjbAmTPSOxEunTtYW+fnDjQYC99xzTyqCosw9L7PMMn01zL5k9913r/Ylvg/ci5ZruwcQorR3KHE0j4q/07WeRl5ldEo7bDgBz1122aX6nMWmm246bHHj8htTxpZAY82Y4+/kxEsnXj75+e+8887kffDnnHvSUK6/L+XYT8s/Ei4aMaa5Z6z47EA3SCZz7W5q/epW/0HjmFjv1u9zzqm+tlu3nX16fV4TbTe3mePKM73P4u90raeRVxmd0kZ4IBAITB4Cw+6z0KsIJ/7bv/1bZTnMHmDyaju1JaNP2cc4E6HFoQOi87XWgmLHTjvtNDATvan9kX2S+qqffdhE70K8dNLLJz9/uEAgEAgEAoHZg0Aw0KfwXcejhkOgThwqJf3qV79KvR5++5U0L88Y9atNoI38YYcdli6++OKEoU37aKuttkqXXHJJohENg9NPP73SQpbePU1lhIi6lhNm7uGHH56WWGKJhClMk09ajOHCbJD/qKOOSgiXGPOYwohBNqbc29/+9jGNIJrrZ5xxhiLGHM2ht771rQmhhMkt37QrkbTRMe/dy8s8J/9Uu+985ztjxK7WZ2Nwq79wTGqHCHjvuuuuifTusssum+CoHd/+9rclqxyCNoEBzPkqoMPPIO/FOznwwAMTwQkMdEx9WvEe4d0xcUpThhCE71oRSBEXLhAIBGYWAmVOfO5zn5ue//znd6w8QvEBBxyQPvWpT6X6HNsxwwyI6NR28x9BodIEc3BZr0pY6xVBu05I6dU6R5PPqtfZOjxRncVLV9pSz1/C4jpzEUDMIySy5JJLJvu3nHvTHtcnjQ3WcOwBCSL6LIHwQdDAwLLPKXnbEVBLXLnW08irjBLX9NU+iuaQfY09bJPl18eUsWbMdStfvHQlTcmPQYbRL9werGg9ue/k7NFKnPmI0GW5j+viRWDYp9tzl08rsLJFwLhTmZO5dpsTSh/1/MlcK5Xfi1tttdXGki1YsCAZO2MBE3jgqk0TJKuipWui7eY2c1xV6MKf+ty38Lbtfz2NvMpomzACA4FAYFIRGHSfxergWWedVSkpoP2cfPLJE1panNSGTGLhzkfOmD4txkIIy0Yvf/nLxz3x85//fEUnHBfY4405von9UX0+tw+zH+tWBfHSlTT1/CUsroFAIBAIBAKjjUAw0Ef7/TbZusVeFrM/rZWgSdfKQMd8dNBtTRv37RHApP3whz+cMHJteOupEO523HHHSltROMIj4gz/S1/60rTlllsm2omFCPn9738//fa3v01HHnlkpVl93XXXpU9/+tPVN5CYA5dPGmarmC2kYY5pLry4Jz7xieMYO8yJljhXzOnbb7+dN5FCrTy1n7XXXru6+9vf/pYQgaubBn+UCzMCBa3uxBNPTJtvvnmFC0381sfql8yGfu9730uf/OQnU6tQiG8cEiqQTz+mlV4OCcx8feELX0jHHntsYrZYmnZukPfiEHDmmWdWxdHkb627A8Mqq6xSxV9xxRVJ+uomfgKBQGDGIEAr4MILL6zq+773ve8h808VsfAHcYKG5r/+67+mibTUFyafEf/d2m4PQRNtmIYQLuolf5PP6mblpJe6DJu/l2dEmqlDwF4JQ4hwImsxEz0Zg5UAI8FDwjQIw/L4zq/PNrCQI42wfhzTlsZbP3nqaeVVRj2sKf9PfvKTtO+++06aYNCwY6rkp31e9n6DtP3WW2/ti5E4yDMiz9Qh4H0aq4RjjMty5mqtwSSt3WOPaXL9Git0SI/PjJUibrjhhmT+KvdNXptqu7nNHDdo3eRVxqD5I18gEAgMjkC/+yzCLugr5imf3SPc5umEFtE10XnQhoSNoss5p2c961npggsuSGeffXb1acfSzv333z8NMpc1tT8q+61Sn36vw+bv93mRPhAIBAKBQGDxIxAM9MX/DqIGPSJAS5lUYz25jRdNknpY+41VSq1563lmqx+BzuadxvhGG23UFgbmxFdYYYUqjvYzE+PVzYM/mOyIOm5JyTPlXpjiSy+9dMIsf97znlcx4T3PhhkTeocddki+JyRf3SEMvfnNb6602IXbeLsWV2c61/0lvn6ljVC/b8KPQE0LG6O81dEsx1Tv9BzCB4QQtKmdBknOuTIrWvJjtLdaTtCPi+ZjSdfu2s978b6Y7leOq3v+dk4fwGRvFxdhgUAgMH0R8N09FipoAmy22WYdK+oTGhjKk6Gh2fGhkxzRa9snuRpRfCAwKQiwxuRzNvYHBCK7reGlAgQM7Ufs8TDdW/PQEGKdaFSIu5iL9qfmvlERDCrvMq6jjcBpp52WnG19ZomwS6fWjuLa3amtJdz8VawvOJ+dcsopY582WZSm8698PtnSOUXEBAKBQCCwCIFB9lm0zs8///z04he/OPm0DnrbotIW/TJzjsG+6G50f3PO6bWvfW1iTbFgQNiJqffRbXW0LBAIBAKBQGDUEAgG+qi90RFuD4bjxhtvPK6FCHs2p64lopPGTGECl3Qz6jpJlcWcxaTF+F555ZXbPgVBtmgfS8CMICIFf6uTjrZya3i5v+aaaxJGBuYupnoJb73aZGN+M3PFtHk9/g1veEOiic3x1+Na/UzdtYYNe//IRz4yXXnllRWBRr+rO7iocycCF+EDDGia5p1Mcj71qU9NmNjqycKCAwb/MG6i90IQwaHmgx/8YHW4cd/peaSp1atTfIQHAoHA9EMA88jnOYxtZvU6CeGwMMFqyGc+85mRMd3ea9un31uLGgUCvSFw0kknJZ+3+ehHP5rWWmutnjK95CUvGdtL2UfbL/lkQyFuKsScsWDBAt4Z7ezTjj766ErbiQY6Qc0Z3aCo/KxBANPmS1/6UnIG7ibUNoprdy8vmXWzbbfddizpcccdl2AxFlDz+EzWOeecMxayzDLLVMLdYwHT0RN1CgQCgWmBwCD7rC233HJsn3XRRRclFiTe8573jLWHtcFDDjkk2X+NBY6w5/Wvf32qt5+lyhFubjQtEAgEAoFAYMQQCAb6iL3QUW4OgpfvND/taU8b18zPfe5zlVlr3xfiHJDHJVh4gyGJSbzQG/81BDCCMUOZB4RPzrkiJuT8jytGC7PpJRutf5rk5b6Xa0lz6aWXJtrnmOxPecpTSnDb6/LLL59oFuScx8XTktpuu+0Sx18imdc7/vjjE9PDJWyqrw972MOqOmPuz507d9zjMZ61XyBmdc75IVjnnNP8+fPTPffcI1nlbrnlluo62T+rrrpqOvjgg5NreRaiMyELv7x6DQAAEABJREFUZvwJWpTwuAYCgcDMQoBmGhOwCPGdGGwIOHvttVfyGYlOFklmVqsX1XaitlvjCC4tSj3Yb+u+pFMpTT6LIFan5/QSXv92bC/pI830RIBZcntjeyKf4hm0lgQbWdehyV6Y6CxRtNtTd3uGvaRvI3dL0y2OcKFP+XRL028cwU/a9ISD2lk+6re8TumbGpMwJKzZ6TkThRMYNtdMlC7ipzcChHIPOOCA9Lvf/S6xFtHp3DRVa7c+NVVrZa9vJuecdt999+SzE/I40/qU1Ve/+tVEoN455je/+U0iIMz6hDOodFw3QW7xdddU243t6TY/1tvZtD/KCwRGAYGm9lksMx511FGJIHPBhWWwn/3sZ+V2pK8550TgqexvBjGDbg4t+QcBq+yPmtqvDVKHyBMIBAKBQCAwMxEIBvrMfG+zttYO7iQ4mUIqIJDefNe73pUw2DkmyUtcudokzZs3r9zG9UEEEBV5119//Yppi9AwkcNIJZAgX78OM7bfPBOlv/nmm5PvgxdCiG+Ld8qDmEIAwDfUOznf94ZBrYy+vfrp05/+9HH5ELiKNjlit2f04jC0xhU0BTdwYgaRAIND3nvf+97kEwpT8Oh4RCAQCDSMAG0sn87gSP+3K95chNF85513JnNOzrldshkX1kvbNarOmCCMhXEhvJMjRFYI8TnnhCjWKW1reFPPai3HvN36rPq9eG0rYbTvij+uMxMB+wqMobXXXjvRYqoLFQ7aIubcEThL/n73bUsttdS4z/OUb36W8tpd62lYyVBGu3SDhMHInDYVgkFNjUlCBGVOMc+YbyZqex1DeZvoCxM9M+InFwHfjCVwS/Dtuc99btuHTfXa3drHJ3OtbNvgNoHmjDPOOKMS/hONib711lsnnxcjDMRUO2Fk2ucEuKV53OMel57znOfw9uyaaLu5rS7EUx+3nSpST6OtyuiUNsIbRSAKCwQq7fAm91k554SugvYGXnOo+Yl/Njg0smFosk3tj1rnc2ekbviLjzNUN4QiLhAIBAKB0UcgGOij/45HroU2PJdcckkitfjxj3+80kSmeWNze+6556Z2WlVMvzt0jhwYQzQI0aUQ5TBNaEgPUdyEWZnRbfKAcNtttyXMoA033DAxkXXttdf+f/bOA26K4vzjz5h/DInRoEaDUeNr70piAQuKvSv2XrBiR2yxiyV2ErBrVKLYQCN2saLGghorakRRVBI1JkpsiSbqn+/gHPsuu3e7d3vve3fvjw/z7uz0+e3tzDNPW9tjjz0MK4G0weBefaGFFjK0V9MCbuGjBHJaW+XSUTDYaaedLCqggPD+8ssvfTWsunykwf7gweH666/3zG+s5XnPsHpZeumlDSZUgw1XwxECQqACAu+//74NHDjQsEzFO4dzyYLxZ5991nDfvOmmmxrv/k033WRJ4f777/deROgW5aVomUZb17LOnbmgZMeVgLVfpf0QN4yBqQ0zBwY9dbOEovqCCYXSIH3+/e9/t0pjJp9ylHfOWdpnW8hXaHwEoCmwqEbAirVlUTQuvyloKa6gAK3FNWuA/uG3GcpnqR8t09bWVpaOC+1mvV5yySWGEsAyyyxjCNmia1Y0Dn0Y2vzTn/5UWv/uvvtuC7RyyE+7Mu+AG+8a71xaWdLJpxxx56a/k6wpnHVIh7nOekO8XIhiyLstIVs5tBo/7+WXX7ZjjjnGsFbkrJM24o7eu4vav9LmU2066x+Kv3hUGz58uHcTfPDBBxseNaAFuPI5inAOXWmllYy1Jk9/Rcy90dbHPPNv4LIamhCoCwL1orPgVcG7DIOO7t8hrVWv0CZBkSnQOXnmWhR9VBS9lmfsKisEhIAQEALNjYAE6M39/Lrs6J1z3tX04MGDS98Wwv00jKsJEya0wwVXadtuu227NN2YIcydMmWKhwLmAkJ0f9MBfxBQ4FKvmq4Q/I8aNcoQhNPOk08+aeutt57hPr2a9upVBwF6lDmDW/bAhJ04cWKCsKNeI8nW7kcffWQbb7yx7bLLLoarU5h2UQWAbK2olBAQAo2CAJaXvM8Ijo477jgrZ5HIesx+gLtY9su0gItnBDrMEW8k0XIw8klvhJBn7ox3iSWWsOASkL0QwRbpaQGBVljP2Yvin+xIq0d6UX0tuOCCFgT3KKjx/Gg/LZBPOfJxkc24iSs0HwLQQezTCICvueYay/P7yzJbaBd+I5TNy+CEDkc4RV1CFsWaaBk+Y9OtWzeqFhIQnuNxCGZ1dL2Kx/m+aeiQ80TIHzBggPHuhLxy16Leye7duxvrduiL9TnEk66sV9DDIS94ZAr3ujYXAgh5t9lmG8O72u677+4/95Q2A34b/D47au8uav9Km0+t6Xz+C8wuuugiGzZsmPEes5axXw+fKlgP7aMkxGcrwn2WaxFzb7T1Mcu8VabeCKj9RkSg3nQWn8wLa1BeOqsR8apmTLhTz1uvKPqoKHot7/hVXggIASEgBJoXAQnQm/fZaeQxBGDqYy0LwRvNgvkV1RqP5nXlOAxKlAvAAOEpFtzE6xWi/eFeL7gzz9sfXgawOEcYBAM5D+MYN6dYl/MbSQtjx44t1PopzA+CH41j7sEahi7xRggIVcD03nvv9d+mQujmXLKlaup4lSEEhEDDIIDVBF5ZEIQNHTq0rPC8YQZd0ECqmTvC5EAnZFEoQwmKPYQhr7LKKoZFBPEsoai+EAqsuOKKvksE+lEhpE+M/SGfciTjuhYvLMQVmg+BP/7xj3bttdca9BBWNEXPAIVEAu2G94J41sAnXxAUUZ53BQEv8aRAHmXIc84ZXoWIN2Mo6p10ztm6665bggBr5NJNQgQaDutasqpxTU09hcZAAOUvBOe77babHX744WWF550x4qL2r44eO14l7rvvPt8trpPxtuNvcvwpau5ddX3MAbWKNhMCLTrWetNZePZzzhm0Uj3ouEZ9LCh8vfHGG15pOZxh8ozVuWLoo6LotTxjV1khIASEgBBobgQkQG/u56fRRxB4+umnDWI3kmTrrLOOHXHEEQ3HgIiOsTPjUXf3aOajoV9pPLjAxDq5Url4PgeEaH9YTWXp76GHHrLAXIVJOGTIEPvmm2/8t+vQ3o3306j3CM+Dpi2CjDvvvLPiUBEEHXXUUYbAvWLhGgo8+OCDFhhLWKHzrGporimratBCoFUQYN3AZTsu1s877zwLFg5J80MIjAvozTbbzIhXCs8884xnetAWDP5oedogvTNDNXNnvAjAN9lkE6KGQlkQRvmEhD/QGySzVm633XZEM4ei+qJvrBTpmOcQdUFNWjyQTznS8ZCCUhtxheZCADr30EMPtcsvv9wWWWSRsoPn3Q7PvGzBWCYMTuitaoWxyy67rKGwSLMoSyIUJJ4UyKMMedQhEC8qBMVacCgXzjzzzFKXt912W2k9fPvtt22eeeYp5ZWLFPlOrrrqqiUPE1jRo/yZ1jc05bvvvuuzUUBYdNFFfVx/mgsB3gWUWbGM4+walFiSZsEnl9jv2HfL/a5DXlF7d1H7V9Kc6pX2z3/+0/DCw9kRTzNnnXVWVYrSRc29kdbHemGudoVAsyCQNM6OoLNQaIUPBi8L7xZJ42jFtPHjxxueU9Zee22rRkETTIqgj4qk1xiTghAQAkJACLQ+AhKgt/4z7hIzhNF30kknlb7NyqTRFD///PON76JxrzAjAiuvvHJJuQDrY5iGM5aanvLUU08Z39zcfPPNpyfmiPXp06fU35gxY/z3KMtVpz+YxMFSDgbhSy+95KvAWHKueayk+e7dL3/5Sz92/mA9X05IA9OLMlOmTDG+QU6degW+axzaxrI/xHVtGgQ0UCHgEQjrxuuvv2433nhjxf2Pdx8Bk6/c5H9qnTvCaDyFAAPWalyTAq6Sn3jiCZ+Fkl41Ar+i+kJYFhhvjz/+uOGJxw8s9gcr3wceeMCnUj5q3eoT9acpEIAm4jMKI0eONOi3coP++9//bpTl2Zcrl5Q3btw4r0iy66672hJLLJFUpGwadDeebCj0zjvvGOsR8aQATYeyD3m4XkZIRbxZQ1HvJN5D+vXr52HAAv2DDz7w8aQ/fMqIzwQ557zbbxjDSeWU1rgIIAzHawyf5cjiNWb48OGG8mtnzKio/asjxg6uxxxzjAWlN3gFldbOcuMqYu5deX0sh63yhEAjINARdBbnFQwXuB588MEWPEJWMf+GqQK/ilBuQCgMYITDGnjCCSeUVfAu105R9FFR9Fq5sSpPCAgBISAEWgeBmVpnKppJV0UA4pNvnUGIBgz4BhqW0ksuuWRI0jUBgd69e9saa6zhc8ARZunVV19txH3id3+4B9+tttrKW/SD73dZuS64uo0yLvbcc08bNWrUDP3R6Kuvvmp8s3L//fcvEdi4fg/MYKyy4wJoxsnBh/qNGGAOY/3A2N58803baKONjHlyHw0cME499VSDQYbVRL2ZoVi9hP5RbADHcM8Vl8YTJkwgqiAE6oCAmiwCAd5bPHSwblxxxRWG9Wi5dll7fvOb37RzFVyufJ48xvLII48YlvBcuc9TP29Z2q917igqsUbTN9YnaQIrLPnADveLuNiNW/izXrJuH3DAAZY296L6wgUh1siMGQF5sOTlPhpwl4iAnTTKU4+4QvMgwO8OGuyMM84wrG/KjRxrZYRx0Fvh94nFKoohtINQKa0+gncUJRGcYwXr3IyKipMnT/YWnZdddplBryS1hWcGfucoddxwww2JdB7v7ejRo30eZamT1FYjpUELsa4RsAyPj413i3eM9FreSeecQf/CWGdNueuuu2hyhgD+t9xyi0/Hiwbuqf2N/jQNAryP/J5QJKnkNYZJofjGHsUZjvsiA+8k+xbj4cp9vH3e1SL2yni7Rd+z5rGWoYhN2+zXhx12WEmRm7Ro4D3rqL2btQ4cW219jOKpuBBoNgSgj2qhs9iP4ZdxRmD9SZs/tMOVV15p6623ngVlw3jZLHRWvE5n3XPmRPmRAK+P+cXHwl6CYRP4UB761CxeyizLOuxcMfRRUfTajLNQihAQAkJACLQiAhKg1/hUsYhl800LQdhXYzeqnoIAxOmwYcMM7fJQBMINRnHPnj1DUktf0fbEAj9MEuu4rL873IqfffbZFqzuYOLAFMH9I0yEm266ydDW53upG2ywgReGcLAIfcWvPA8I5Hh6uEfj9NhjjzUED6TRH0wE2uZbnhwWcO0E4wZr7Z133tlWX311ivrAN6La2tp8nHkjoIDhxHwfffRRw8L97rvvLjFHOMDgug/rJ8r7ilX8wT1mqMbhCLdb4T7PFRzBM9RB2IH7qr59+xpKIHzTdL/99jPmifU5gjDioTxXMCbE49ynBcqXey5RZvzFF19sv//97+3LL7/0LrZOO+00w0VkEOKjxACuPDswp+20fpUuBLoEAg0ySRjqfPIB5gNrIZ+MSAt49WDtYT0lFD0FLCJhDMEsQcMfhn+WPlhXEP5lKRstU8TcnXNeQQzBIWszzDQ4GogAABAASURBVK34uomyEUoHpCPIjFtysz+g+EUZ1lLmztiiYyXuXO190Q4B5htYs8chfAFD0kPgnnTyGdtee+0VsnRtEgRwI47bfYTbCIDS3uuQDhPz4Ycf9jRRmCJehlgXVlppJe/6HVqJ33HI58rnCxDaInSHyTnffPOR3C7wDmCFyW8cegX6O94OFeaee26jDPTeVVddZUnKjaSRBw3K+0Yd6lYKn3zySaUidckHf2hg1jXCaqutljivot5JBGx4EWAy0IRxpVHS8RzFs4Vuv+CCC0oKp+QpND4CvDs820svvdR/rgn33uE9TrryjrDeo/zMmaroGWbZu50rbv+Kj5/9qhoaIN4OezFKRJw5ycNtOyHNyxbl2R9Zszpi7+Y50lc91kfmqyAEhEA+BIqgs1g71l9/fe+anO97P/fcczMMYtKkSbbHHntY3759vREJvLh4oax0VrxeUetn3nYYbxgLewg8WD6Lw1rOHocS79Zbb+0/PYShBnRUKB+9Zl2HqVMUfVQTvcZAFISAEBACQqBDEEDpFB5HmuwVpXM+EVLPwUiAXiO6WOJipZQW9I3JGgEuUx0GGhbMAwcONL5rxqGYwzEWH0lMvzJNNW0Wwkss7WF6hkmMHTvW/vznP4fbilc0QGmDBScUnjhxomd8brvttnbKKacY7iN/97vfGdr7zk23RoIoxqIJoSp1YYY+//zzRFMDwliE9tECMGpxC8/7BPMIxiQELW6tnJveH2PkmYe6CHBx1Q+zd9NNNzUYjbg2RThEGVz2UQerHFy+k5Y3TJp60LnzzjtL1ZjziBEjUq2uSgUTIs45g/mNdXk0G0b3gQce6LWQseiabbbZDIYozyZajvhjjz3mBdvE2SBQOCAeDYwxz3MBnyW+c9PKu7TvvvsaaxeuJPluLn1GccdTwcwzz2y4Ma4W1+h4FRcCQqA2BFjDUUbi/UXBB+W+cuG9997zikbbb7+9OTd9ja1tFNNrszZ89dVXPoExPfvssz5e6Q/MJtYcyrGvoKxDvFwocu7QDuxHKOLBeGf/gwFE/yhrwQBi30FRgbXcufbYQZdELS+Y+znnnGNR5hJtEWrtizYIMN/w5MKzxB3/3nvvbSiOkceVe9LJZyzQSuQpNAcCMHURmKEICFOz3Hsd8igHTRRoIWYKnYSwhjhu1TfeeGOD3kJ5D2VJaOnlllvOsGrF8pTfJ2XjAZoo+huH5gvvSLwsdN0dd9xhKOAxnnvuucegWwnESSPvuuuuq+iSPrT94Ycfevoo3EPvMt9wX88r6ybYhT5QSkH4yYE+pHEt8p0cNGiQ4fKUZ4vXIvCGxmPOWHFBj0EHQ/vGFS4Zi0LjIsBzZE0++uijvRcGfts853KBMiicQLfXY2ZZ927Wh1r2yrSxV0MDRNsCU2gIFIN5NxdeeGHjXMyeXe680hl7dz3WxygWigsBIZANgaLorKhSE3s1hhMo0rJX44kHIxWUn9jXuY+Wj440D50VrVfr+hnaytsOirkoeYb60CcoV0ILQXduuOGGxidpWJvLecnJsw7TFzjWSh8xxq56hgJDBSEgBIRAsyAAzwA+Z5rsFUNShOv1nI8E6PVEV23XBQFeGKxie/ToYbgbhynIwRjGFlfu69JxAzUKUY7lG4Q33xCKDg2hA1bbCD/79+9vEOHR/KT42muvbVjcoYCwyCKLeAvxWWaZxZZffnnD/R3YYhUeZT7AdIWBAtM1tInApG/fvkZ7MIWwDA954eqcMwhe3FFiXRHSwxXmPgJ2tHiTniX98W1fNE8hymGOMG4YTjBjF1xwQe9aFAYTc0B4ADN41llnDV1kusLQhZlM+7hbj1ZCGDHXXHN518dYcUXzKsWZH9b9KCWggUw7zjnjiiU+1kQIjbASC22BI3iCKwcUGETkcYWJRjqHM9KqeS48RxhhYAVmBNpFixiscQVNHs8WzMEehjvWHfSpIASEQOchAKOD9xNhbZ5RoKCDoDhPnaxl11prLWMNpjxXLDKIJwX2M5R2WMcQFLKPhHIIh1gLyQ9rXMjj+txzz1nRc2c9REjOGsc+hUKTc84LG1HIYu1mz2EtZwzRgFUZTKJoGvsn+3I0LcRr6Su0wRVa4PrrrzcEBdBI88wzj1eQ4Mo96eRTjvIKzYEA3oWwikR4nmfEKLjhwce56QoeMC3xzoQiBb8L2kMJDy9O7P8I1FESYV9Por0oT4AmQshOnIBSJAxI4kkBoS/0GR6DBgwY4IXpHICJk0YeZZLqhjQE1ShIMvbFFlvMcLMa8mB8trW1GYxpylA25BV9pW/WqGi7vN/QaNE04rxrvHO8e7yDYO6cM67ck04+5SifFpxzBk7QoayR0InQYTxjBIQot7700kvWs2fPtCaU3qAI4HkLIUPe4W04VRgRlF7z1q1UPs/eXdT+VQsNEObDO3jrrbdar169/Nn1008/Nc5qvBusfaFc2rWz9m7WPtZA3nHWRNZGAnHSyKNM2riVLgSEQG0IFElnwddBaZB9Gr6Oc84boWAYgpEJ7zR01o477mhRnlp8BnnorCLWT/qvpR3oGLwosu6OGzfOW9bzaRk+eUMaFui77bZbRQ85eddh54qhjxg/9Bh0GfQZdJpz+ek1cFToMATUkRAQAkJgBgTK7a0zFK4iQQL0KkBTlc5BAEEeGiUIznFtDVMRTXksu2BmzznnnJ0zsE7oFUYZLnEh+hGiJgXcjuMas62tLdMIwQ8FBBi1WAfRNsQ0VufkxRvhEEAf8b6p++CDDxpMWKyY4/W4d84ZDAEYggjuEZAgGH7ooYcM7VPqJgknqMuiiKUlltf0BVHOuBFykO/ctO8ioZ3EHPj2Hb8Z8vIExoOmLH3E58g9bfMMmEeedinrnPPuvXg+uARF8MUViyyY0fG5gyOYgGt8PNyTjvYvbVf7XGCEgRXzInAAhBHl3DQGPPk8H/oDeywxnZuWR78KQkAIdA4CfO6C9Y51KU9AQQamQZ5Rr7DCCoa1Kf3AnE6ry5iwUkUAzRrNfVpZ9jM8b7COsb7QdjTgSYT8sMZF26HdesydfYY1DkZQGBPrIhYjuL6PjiEad84Z7tIZE0wYPoeBcDG+pk+vY56JVk1f0TaIO+cMyxb2EZQQwJAr96Q75yim0EQI8NvBGw3PMk/gEyxx5RjnnBcu8RtGcE57eC+CBsN9NEou5X6nATbGhKCKcb322mteITLkpV2hzwYPHuwVOumXgHInaeSl1Qvp3bt3N9yBcg7g3aJ+NECLsh5RhrKhXp5rsAKmXeiwpLooFqBYg4Y7lsDQZSgcIvBKKu9cce8kNBiWVqwrjJEALQbNx7iS+ldaYyOABXLYX3ieWQOM/rTfXNqM67F301e1eyV1Q6iFBqAN3kNoARSQUfZmPeAsm0VgQ32Cc523d7MGshayJobfAHHSyGN8CkJACNQHAWga6Jnw7mW9JtFZrIcYIEB3w9cJ/B34aUOGDPE0GGUqzYQxZaWzal0/w1iKaIdxo5zNZ35QJubTMqSFPipdncu/DtNmEfSRc8XRa4xJQQiUR0C5QkAINCMCEqA341PromPG8gJNclwlwpAfOnSodzWZheHXRSFr+GlziMDNEwzBgw46yPr27etdhzf8wDVAISAEhIAQKIsAGvwoGCUpYJWt2AKZCPGwPsH6AovVlsWgBZ6VppAfAQS2/K6xyHauaylmOOeM9xnlIz53hLAdJcf8KKqGEGhMBJpt78ZDF5678FLD57/4dIVz1a1L2rsb8zepUQmBroZAV6aztA53tV+75tt0CGjAQqCLIiABehd98M04bZjRuPZB6NqM49eYkxHAmgchOoyPk046yVCOSC6pVCEgBISAEBACzYEAlvOPPfaYJX0rvTlm0Pqj1AyFQLUIYO2K22hcsVbbhuoJASHQeAho7268Z6IRCQEh0LUQ0DrctZ63ZisEOhIB9SUEqkVAAvRqkVM9ISAEakYAN3u4uaIhBOinnHKKLb744nbzzTeTpCAEhIAQEAJCoOkQ4PMyfAsRl40LLLBA041fA24KBDTITkAA966jRo2y008/3S666CLDEr0ThqEuhYAQqAMC2rvrAKqaFAJCQAjkQEDrcA6wVFQICIGuhoDm24kISIDeieCrayHQ1RGYd9557cknnzS+x/nWW2/ZQgstZHwv6sorrzQse7o6Ppq/EBACQkAINBcCTz31lJ188sk2evRo41uAzTV6jVYIdBQCzdkP7/XIkSPtrrvuMinHNOcz1KiFQBIC2ruTUFGaEBACQqDjENA63HFYqychIASEQMcj0Nw9SoDe3M9PoxcCLYMA35Tku3UtMyFNRAgIASEgBLocAgjNx4wZY3wfustNXhMWAi2OwJZbbmlYoPfo0aPFZ6rpCYGuhYD27q71vDVbISAEGg8BrcON90w0IiEgBISAEJiGwEzTLvorBISAEOhYBB5//HEbMWKEvf322z7gvv1Pf/qTzTTTTLbffvtZt27dOnZA6k0ICAEhIASEgBAQAkJACLQ4ApqeEBACQkAICAEhIASEgBAQAkJACAgBIVAZgWa3QK88Q5UQAkKg4RD43//+51234+a2ra3N2qaGiy++2DbZZBNDsL7ZZps13Jg1ICEgBISAEBACQkAICAEhIAQ6FQF1LgSEgBAQAkJACAgBISAEhIAQEAJCoEMQkAC9Q2BO60TpQqBrIvB///d/NmjQIHvjjTfs22+/9eGzzz6zO+64w3r16mXOua4JjGYtBISAEBACQkAICAEhIASEQIsioGkJASEgBISAEBACQkAICAEhIASEQLMgIAF6szypRhynxiQEhIAQEAJCQAgIASEgBISAEBACQkAItD4CmqEQEAJCQAgIASEgBISAEBACQqALISABehd62JpqewR0JwSEgBAQAkJACAgBISAEhIAQEAJCQAi0PgKaoRAQAkJACAgBISAEhIAQEAJCIA8CEqDnQauFy06ZMsWWWWYZH5599ll74oknFDoQg3fffddjzzN4//33s/zSVEYICAEhIASEgBAQAkJACAgBISAEhIAQaH0ENEMhIASEgBBoQAReffVVz8+dMGFCA45OQxICQkAICIFaEZAAvVYEW6R+9+7dbfz48T58/vnntuqqqyp0IAbdunXz2PMMevTo0SK/qnLTUJ4QEAJCQAgIASEgBISAEBACQkAICAEh0PoIaIZCQAgIgdZEYMkll/T83MUWW6w1J6hZCQEhIAS6OAISoHfxH0DS9L/99tukZKUJASEQENBVCAgBISAEhIAQEAJCQAgIASEgBISAEGh9BDRDISAEhIAQEAJCQAgIgS6JgAToXfKxa9JCQAh0ZQQ0dyEgBISAEBACQkAICAEhIASEgBAQAkKg9RHQDIWAEBACQkAICAEhIASqQ0AC9Opwa8lazjlzzlmfPn3sm2++UehADH7605967J1zJg8ALfl6aVLFIaCWhIAQEAJCQAgIASEgBISAEBACQkAICIHWR0BN31ehAAAQAElEQVQzFAINj4BzruHHqAEKASEgBIRAdQhIgF4dbi1ZC8EtwTlXEuY6p7hzHYMB2BOccy35+9KkhIAQAAEFISAEhIAQEAJCQAgIASEgBISAEBACQqD1EdAMuwIC8HK7wjw1RyEgBIRAV0RAAvSu+NQ1ZyEgBISAEBAC1SCgOkJACAgBISAEhIAQEAJCQAgIASEgBIRA6yOgGQoBISAEhIAQ6OIISIDexX8Amr4QEAJCQAgIga6CgOYpBISAEBACQkAICAEhIASEgBAQAkJACLQ+ApqhEBACQkAICIFaEZAAvVYEVV8ICAEhIASEgBAQAvVHQD0IASEgBISAEBACQkAICAEhIASEgBAQAq2PgGYoBISAEBACDYCABOgN8BA0BCEgBISAEBACQkAItDYCmp0QEAJCQAgIASEgBISAEBACQkAICAEh0PoIaIZCQAgIgdZAQAL01niOmoUQEAJCQAgIASEgBIRAvRBQu0JACAiBghH4+uuv7aqrrrI33nij4JbVnBAQAkJACAgBISAEhMATTzxht912m4AQAvkRUA0hIASEwHcISID+HRC6CIFmRODbb7+1CRMm2NFHH22LLrqofe973zPnnA8//vGPrXfv3nbFFVfYP//5z2acXtOOmedy4okn2rzzzuufhXPTnolz1V1vv/32wrD473//a8ccc4z96Ec/ssMOO8z+/e9/F9a2GhICQqDzEeCdvu666/z6zz7gnLO2tjY7/PDD7a233qp5gDAg2Gt23333mtsKDdR7zM8995zNPvvs1rdvX/vss89Ct6lXhFo333yzx3DmmWf26zhY9u/f31577bXUetVkFNUX+84jjzxiG264oTFW55wx9k033dTGjRtn5FczPtVpHAR4hjzLHXbYweaee+7S73KbbbaxBx980PgtZR0tv2N+z3PMMYdvxzlnK620kt10000GnZC1nWrK8b7/5S9/yVW1qLlH2wnvCdd6vScXXHBBCV/nZqQB/+///s/uvfdev0bHAalU17kZ21tggQXsvffeizel+yZA4JNPPrHzzjvPevbs6ddu55wts8wyduqppxZyjqvH3h2HlfeLcynveDyv3D3lr776altuueVKZ1n27AMPPDAX3cJv//jjj/fvk3POt0WbtE0f1gH/WIcnTpxol156qe2111626qqr2ujRo1N75rmfdNJJtsgii5TWira2Njv77LONvNSKyhACQqBwBFjDiqCzQjvQFtAYzjm/Hm2wwQa56TWr8I+1rYhzH+2wVrJmcs5zzvmzU951mDWwo85QQDN+/Hg/TudmpImcm5a27bbb2rLLLkvxxMDcwXDddddtd4bqPZWXSjr5iRWVKAQaHAENTwgIgeIQmKm4ptSSEKgfAp9//rkNHTrUMwzzChMRGOyzzz4lYggiFqYhzMP6jbj+Lb/yyivWq1cvW3zxxf0hm3mdf/75NmrUKB8gdt98803be++97ac//akdfPDBOojX/7H4Hpxzdsopp9hf//pXu+OOOzwjzGdM/TPTTDPZaaed5p9ReFbx67HHHmsLL7zw1NLF/+dQeO6553rB+e9+9zsbO3Zs8Z2oRSEgBDoFgaefftozCHbeeWcvNGXvZCBvv/22DRkyxDNo2UthbpCeN0yePNkrbH3zzTd5q6aWr/eYEZijZDZlypTUMUQz3n//fYPBhVASxsnHH39sMMJeeuklgym+xBJL+D23Wgzr0RfPec8997Q111zTZpllFmPvZ8wIE37yk594RYD999/fr/vR/pso3uWH+tFHH9n222/vn+WNN95oH374oceEZw+jcp111rHtttvOKOczUv7ABDzyyCON3/Hw4cON33co+swzzxhMxs0339z+9a9/heTCrvR95ZVXWo8ePeyMM87I3C5zKmLuzGnHHXe01Vdf3ZZffnn74IMPjLXsqaee8u847zv90F/mwZUpSPsXXnhhmRLmBWYoIyFIt8g/xjpixIhISrYoAlcEj9lKq1QjIMBazVlh/vnntyOOOMJeeOGFkhLLyy+/bCjk/uIXv/DWc5StZsz12Luj42BcnC84l6633nqWdb+ljUAD8B6wz/JOkk4bF110kT/n/vGPfyQpNdA/ZVEgoY2HHnrIv9N///vfbeuttzbO/QhP6Cu1kRoz2G9RVJx11lk9HYYiwQknnGCPPfaY9evXL7F1FJ8473EuO+ecc+x///ufDxdffLFfI8nDcjKxshKFgBAoFAH2fmgAaIFa6KxoO3feeadBpzFQ1jYU5qDXDjrooNI6T161gTWNta3Wc19op5Z1mDl05BmK/lj7L7nkEmO/4D4t9OvXzytWJeU//PDDfs1mrz3ggAPsH//4h98/3n33Xa9YCrZg/PzzzydVV5oQEAL1Q0AtC4GGQkAC9IZ6HBpMHAEIFwTBs802mw0cOLDEMIyXS7qHuY2gAI1utCmvvfZafyjFIpv7pZZaygvlKZdUv1HTGC/zgpCD2IUJCrMFCzuIPpj+hLPOOssQmsCkRGiLJQuMNeo06txacVx9+/a1Pn36lKY233zzGYIOnlFaOP300+3VV181rChKFQuKzDnnnMb7RHNYJ3bv3p2oghAQAk2OAEKg9ddf3wt5l156ab/ObLHFFl6gGqYG84a9FCs3mA4hPcsVq1QUg/JajpZru95jZo4w1e+7775ywyjlIbTaZZdd7IEHHrABAwYYTG0E0hRYcMEFvXUu2CKQrwZD2gmhqL54LngTQRiK4OIPf/iDVzakH9b73//+94YFDNZwhx56aCEMO9pWyINAbWX5rSAcR9kOy3Piu+22myEsiraMkIk8ykfTQ5zfCr8BaEiUKhE0/e1vfzOYgrvuumsoZvfcc4/3WIEwp5RYQ4R+ocEZLxaZeawqmQtzqnXutIMgDab4mWee6T3x8G4754zzABZGMLXph/4oX8OUfVXWHZR155lnHkM4mhQYEwJ9XyHyB6EZ6+P3v/99Yx1HETgt7LHHHl5RluooP3Tr1o2oQpMgwHvLM0bZa+WVVzaeM79Fnn2YwhdffGFbbrmlUTakZb3y/hW9d4e+2WNffPFFb2WN0CnvGZPfOHQLQueRI0ca534CnzVAaYB+GD/r05///GduZwiMAeEz/IK+U89crDXs1xRkD0QowlkYBTj6ok/yigoIxw455BD7+c9/7hUVWeMQIkEjYEnunEvsinHw/iNsu/766/3zxeqTsNFGGxl4kLfxxhsbZRMbUaIQEAKFIMCez94PDVALnRXaGTNmjMHPQZEGOgsPUdDoYbAIfVFsDvfVXFkXWNNY2zibwF9iL4G2Ce1lOfeFdmpZh+mPuXfUGYr+CMydfRHFwSQaizRoPPZV52Zci5k7wnX2kfvvv9+22morCzTUz372Mxs2bJjBU6Uffh/wVulXQQgIASFQGQGVaDUEZmq1CWk+zY8ABAxa7BCEHJ5hfkP85ZkZbXBwRVBAXYgmmEocSjmsQgCRTj7lKJ+n/c4qyzgZL+Nm/Ahm0bLH1VLSmH74wx/ar3/9a2/tDCMGpgS4QiwmlW+FNIj3NCZLZ8yPQwyu3PP2zfPiIFRN3XJ9LbHEEnbLLbd4jwQwd2F4lSuvPCEgBBofAT7TgTUDCmMwa3Bnh7IYbkNZE2Eo89mGMBOYyVi2hfssV9y/0maWslnKdMSYYeYz1yzjYX/FjSrCc9bdo446yuJWoTDVgmITn8KA2ZKl7XiZIvvimVx++eXe08ngwYO9t51of9ABeDVBYYpylI/mK97YCPBbQZEDgSpMQhixCIFRlJg0aZLxHvfs2bM0CX6/11xzTek+GsGD06OPPuotXGEKolSJcBdrbNq74YYbDIVL6kAnvP7660TNqvyLwifMaOhvrK6gwfM0VdTcaYezBNggxMcFfnwceGrAVTbvCeVYC6gXL5f1nnUXxVXouHfeecfSAvjgQSraLooLPA+s5bGEYh2/7LLLLC2wVnEmQCFytdVWizaleIMj8MYbb3h6HAY+Fsycf3nO7C38hti/wjvJM2b/wbNBnmkVvXeHvvGEttNOO3lL6ZCW54rCAMpoKPVwLsX7BUrGBJRCUAxfa621fJMoEPBO+JvYH+qy95EMHRR/n5xztt9++3mvbVgp8k5imU75WgPKziuuuKLhAQ5BDWMhHhSV09qnf8bBeOBJICSPl2Xu5FGGstSJl9G9EBACtSPAXl8UnYVg/KuvvvKfe4L25hOL0Fnw7O6++277zW9+UxowBj3s8aWEHJGizlBFrcNgCN0E/VTvM1QUJjz1wGvDmCiNzoJOhs6N1iPO3KGfWGP33Xdfa2trI7ldcM75T3H88pe/NGhilLvaFdCNEBACQqBVEdC8ZkBAAvQZIFFCZyGAhjnMOwhNhHoI96odC0xCmNuh/tprr+3dJHIPQxxrLOIEysGoIN7oAeYp42WcMMqwIsIVJvflAlYLuA2nDEQi2qGtqEEJ8Q6TtFmeJ8+jXGhra/MueWGYlyuXJ885Z2ussYbXqOXq3IzauHnaU1khIAQ6HwH2S1wxI4xhD42OCKEVTG5chQYhOvsA3zqOlisXZ7/Agm3QoEEW2ihXPktevceM8OG4444z9juYOZXGBIMlMOgRZrD+JtWBqY0iEsIMFNpwS51UrlxaUX0hSIEOoC/GFRWkkhYC6eRzT3nqEVdofAQQkmMdjetzaDne5+iosawZO3ZsO083MBT5/UfLcY/yBL/xJZdcMprl4845Q9AdLKSwfKRvn1nlH94RfncwjekXBnWepui/iLnTTnCljrALq6KkccAgXXfddX0WyibPPvusj1fzByYyykx8OoFzR5428PKBBetvf/vbksegcvUZJ88LBnHaulWuvvI6DwHeVRTfeL9R0IqOBOUnlKB5B5ybRqvz20BxOlquXLwee3foD+tuxo/1NEp6Wc6joS5X3NbzGTL2aZSGSYuGOeaYwxBuODdt7gjssfaOlkHZhM9RIWCnf5SCovkhjoJM//79/S37bxFCkMcff9xb3vNMoLugsVZaaSXfR6U/WJczDuec4TI5aY0gjTznnFeUok6ldpUvBIRAfgSgEVhnWYdrobP4bCR7P0qMrEfxkUC/oQzDGYI8DFv43B/xvKGoM1QR6zBjZz2DziNe7zMUfRDAj72Hz1WiwERanoCHIBStqQMtzTUpsBcFupny//nPf5KKKU0ICAEhIAQaCIF6DEUC9HqgqjarQuDhhx82DqMIvxGmV3u4RSMTYTGMOwYCsx+LE+IhLLbYYgZjgnvK8Y0ymIvcN2oIVgqMlzFyqIYpTrxScM4Z2vy4d6IsGpR8AxOcuW+VgOAc64xWmY9zzgt/8MTQKnPSPISAECgWAQ7yMBD49mZbW1tq47iGDQxkCmGlDvOZeLnAPnHyySd76y1c25UrmzWv3mMOylRccesK06rS2BACTJkyxReLKt35hMgfhBy/+tWvfApWtXzf1N/k+FNUX+x5MO/pGoWoQNdwHw2kk08aRUTUlAAAEABJREFU5bFoJa7Q+AjwG4Oxh3A7bbQIh7B0cm6aoAmhGbRwtDyWkiiPsg5E06Px6O8kml5tHKHYT3/601L1SlaZpYLfRYqaO+0EJjXvLoKp77pod8FtZ3hPEMgFZnC7QhluUKrBipj1EqF2hirtinz55ZfeFTRrjZm1y4vfsIbjLYB03D7HrW9JV2hMBLA8xDqcMyjvcNooeffxHhby+fRCiJe71mPvjvaHIkrYW1k78N4QzS8XxzsFAnHObKwTaWURiOMaPS2f8yzvN/koIsw111xEEwPKM/AEyKzF8pP6WJpvsskmBs2AQjuKBPRPXqWAsmNYW5gbc0yrQx5lyL/44ouN3wxxBSEgBIpDgDWkCDqLz+HgBSPOd4yOlH0dOiSaljde1BmqqHWY8Rd1rqGtrOHWW2/1RVES95GcfzBQgdajGnGuScE5V/JIhhIXdFdSOaUJASEgBIRAayPQgQL01gZSs6sdAaw+cCmJhh/MLZhYSdqblXpCIxPtwFAOhlg4MIc0GEwc9sM9B2HcY4b7RrsiBMAVJO79GBvz4Xtwzk1jlpJWKUCwUyeUu/nmmw2rpXDf7FcYxghKgoJBs88njB+GKCHc6yoEhIAQiCLAoR9mClYT0fR43DlnUSY8jFjqxcvF7/F8wp6KlVgeBnm8neh9vcfMnv773//eu0osJ5gIYwKLIFTmG4ALL7xwyJrh6pyzFVZYwaezNyMA8TcZ/xTVF88Oi5nQLdazIZ50jeYzZuonlVNa4yAAkw46DdomSrMmjXDZZZe1oGzHN8YR0kTL4dkJa+hoWlI8CMSgv7EOTSrTEWlFzZ12OBeEMYNTiCddo59EwpKM9zWpXLm0P/3pT0afWPxDr3O+IZ7V8wPrS/R9LdcXLktR4mFt5txUrmzn5KnXNARQZkLpbfXVV08r4tN599f6zpU5CZMnT+ZSMdRj767YacYCrDN4tcFde7kqlCNQplevXoarXuIhBO8L3C+00ELG/k08KdAX6xp5KBQh7CKeN4A/SuwIz6mLEkA5xSTKRAOfGSOQhiXq7LPPTjQxkEcZMmsZM/UVhIAQmBEBaISi6CzOYSg8zdjL9BTnpgtjobEC3Ta9ROVYUWco1tYi1mHopI46QwV0+KQF7vIxMAJDlI04p7JOohgQypW7wm8O+SgiovwY7qPXTz/91N58802fhKIUfGR/oz9CQAgIASHQpRCQAD3r41a5DkcAhgEMoTwdQwTH3dJC5HTv3r1dM9yTHhJhgqMNTv2Q1khXXEtF54XmKlb0eccIEw9mHvUQNOOqqlHnzBizBoTnWAJgiZC1jsoJASEgBFoBAfazs846y7AGqzQfXJmHPQBGdJR5kFQXxgSWrYMHD7ZyFhVJdcul1XPMWN7yTVW+eZrVnSqCDNwtM2Ys2AKTnfukgKJfSEf5Li6sDHlJ16L6goGG8IA+EBoEKzXukwL5lCOPetQnrtDYCAwcONB/yqXSKFEUQRhHuSTFUdIrBehBlGUot/3229uCCy5ItNNCEXOH8QmNmHUSKJuGNRLaO09d+gBDaGtobO6xAkYQj4tR1hUEbY888ohx7iC/1oCyEO7eEfwHQVutbap+BIE6Rnm/Tj/99JJHtHJdYR0Z8nnXQzztWq+9O62/eqVPnDjR2KvwZJFkZYgVe9a+oXmCm1/evyDEzlqfctS79NJLjX2ce2gMPLwRzxpwwU87lGfNZlzEkwJ5lCGPOtQlriAEhEBxCBRBa2QdDeeFsG7ttddehpJM1rqhXD3PUKGP6LXSOsx62FFnqDAuPpmB2/hwT/w3v/mNsVfOM888dv7551uaQDzUYW3FPTv3Y8aM8XVYZ7mPBpStoLVmmmkmgzaO5ikuBISAEBACXQcBCdC7yLPuKtPEuuOZZ56parowwalfVeU6Vxo3bpwF95N0hWVKYIRznzWgnQ9hGco/+uijxveDuMc6hnadc+bctIBQhrwQKIMFABqrzk0rg1AlWMaHctErTJyjjz7aYO6htQljkjpYVKHFHy0bjUPAwrwcNGiQBasprKoOOeQQo3/awUUmVj60DeEc6vPNQOemjQ/mQxKTpNpxhT7qeeVwtc0221g5XMnDZTNCM+emzZWDQJYDA5q5fC6BQwAHhrS5YKGIeyzcGYMhz4QDC8Ij55z17dt3hjE2Mq5p81S6EGhmBDj8o1SVdw5YWSNoS6uH4Afh+TrrrGOVLCrS2khLr9eYWaP4HioKcgjQnXNpQ2iXzv6B4ItEGOzsG8TTQlTIhlUCAqy0svH0ovqi30CzwIBjTPG+ovfkU4406lGfuELjIoCCCzQXCqV5RomgFkWQPHUo+8ILL9jdd99t0B8ozTiX7f2hbtGhqLlDx2CplHV80FThPcG1J8K7rHUpx/t95513Ek0MKCisueaatuOOO1qtn45izYJGoyO8i4Rxc6/Q+Aig0AY9nXek4XNcafWie3fRe3dan/VI5/c9fPhwQ5mea9K8y50j42NiXwfzkB6EWOE+y5X3G49woexuu+1mc845Z7iteGU9QhgTCi666KIhmnqNlqEubaQWVoYQEAK5ECiK1sjaKUowKLHCw0GAnrVetFy9zlDRPkI8yzrMukg56tT7DEUfuFHHyxjxpPDhhx8a/EI8DrFmJpUhDaXDqHfOY445xjCo4ixJPgE6DXr4q6++sjPOOMMwRiJdQQgIASEgBLoeAhKg1/DM2Vxx3wXhxfe74oH0zz77rDArgxqG2uxVM4//rbfeaidozlxxakHcIOL2Z2q04f4j7IwOCoZq9D5rHKE7wutQHsYgWqXcQ8SjXdmvXz9uEwNlEOaPHTvWMzQSC32XCAPntNNOMyzlEdJQD+Eq1kADBgywiy66yCBs6fO7Kv4CY/+8884zGAZYZ/z2t781mJgQsFtttZXXDsWyB63SoUOHGkJ/8s4880xfnz/EeT8JENm4wySdUO24qNtRAWEMv8ek/pgT3+5D+MUBAQz47hRMsrffftsfGHDjGWcqUQ+FBA5s/A5WW201GzlypHEgiPYDPrgDRbgOs4nfA8+OMriDXG+99UqWFw8//LDhCpg86lXzvKmrIASEQMcgwJrPeuqcs4033rhspyhMwRQ58cQTDfqmbOE6ZuYZ8/33328wVc455xzLYqUXhs08Q5x1D/ot3CddUeBiXyMPhaeoghtp5UJRfbF3s67TFwoDlZ4R+ZSjPPWoT1yhNRCAtoIGZja4e84j1KEOdMcRRxxhBxxwgEFj5Hl/qN+ZIc/cWU/KjRUFTUIok9ez0fLLL28oezImvlWNhTFuWkN74XrjjTfaDjvsUJMQHXoZ5V/WK33qJyDbmtcg7MXyEPq93CwbZe8uN8ZKeexRI0aMMH7fnDnxMlapDm6EywmXnZvuOpm22Lc5IxLPGvAGN2XKFF8cIRYKhpx/UC4+6qijbN9997WTTjrJUOYn3ReM/IEvxFksJPE8QzztGi1DXdpIK6t0ISAE6ocA+3otdBZ8xsGDBxu8LYxUoMvrN9ppLUPzZD33Tasx/W/Wdbioc830nsvHOKdx3oOHBe/rmmuu8Z8ow0I8WpNzDnwr1uNoeog75+yEE06wVVZZxSfBX+zfv7+xlsNnhC7eeuutDa9B8NvgoTnXeYqlfpD6IwSEgBDoogiwRnNGZ+9MCpyH89L1eaGUAD0vYpHyzjljo0bjjkNSPJDOA3ZOG6110D8IOHCvpjuIRAitauqWr1NbLotAYJyElji0h3ieK4sKblxDHeb84osvhlsvJOndu3fpPi2CJTkWTmn5pMMchCilv3322afkopB3AgYtSgAwIdAQRQBOHRgfzz33nNH2D37wA5J8+PLLL41vzPXp08ewOkd4QQaCYBZP4llDNePK2nYR5Xgmo0ePNhijSe0hxMYin8MCTG4YsATq4LaYOhwUKAPxzz0ByzJcW3HQAE/SkgIeCQh8T4qxhDJPPvmk8a0pvhGFsD6kByZ7o+MaxqurEOjKCPAeM3/cCAeGAffxwF7KeoG2Pd8Njed35H3WMWNligCQgGJV1jGyzuH2PZTHVWy3bt3CbeIVhnZUGI3ALLFgLLHIvqJjxtq40pjJp1wYUrR+SNO1eRGAfoVRirXmzjvv7D0JZZkNv0neMb7DjKDqjjvu8EIr0rPUb4Qy5ebOewo9E8bJ2hbiWa6c7bKUi5ehX77JiRcP3Jvi8WGPPfZoV+yee+6xc88916rFGs9A0HQoqmJJ1a5x3bQMApxr8VzAhDbccEMr96z5fTfK3s14qwmce4888khDkMG7w3knbY+NKqfkFS6Da553D2W5qHcJvLpxJoNmQJCO4t7ll19ufFMY1+7zzjuvsZ5G++CcG868YMMZmWu5EC1DXdooV155QkAI1AeBcrRGuR7x/AefBh4bfDcMH1577bVyVQrLg76jsUrnPspEQ9Z1mPUtep5gPeS8EW0rHq/2DBVvBx4g9N0uu+xieFRkn8AL2WyzzWbhH4pV8B2jYwx5XFE25XlEPZxAl7HP4iEGHLBih18JD5M6CkJACAgBIdDxCCB7ZT/lbJ4UoOsr7T+1jloC9BoRjG7QSU3ldbuY1IbSsiOQRhxlbaHW+ln7yVMOISjuukMdhMe4Yg33ea9R93XUheHANTVUkcHhHmKUqowfjV3iISB0DUwPlAPCGFjwYA7B/IXpGMpjKQ2BjCUkwngOHViZ42aJtkK5Stdqx1Wp3Tz5EPcwVLBiiAesRnCXHp17tG0YY1jvI8DeYostolmeWb733nsbhxIyYPJgIU6c0LNnT698MGLECANj0pICDCEE8owhWO6juYzHACw76RuGEWO/9tprjXE0Aq5Jc1GaEBAC0xGA+Xvvvff6hIMOOijVQhvrpsMOO8yw+Kpkpe4bq+OfrGOGYMbqC/fLuG7PMySYI1ii5akTL5vVSrXIvtgH4+PIc19r/Tx9qWz9EcD1Ou8Be/KKK65YsUMOnnibWXXVVb31DYxhKiGwQhgEw5EypDV6KDd3BNkofYY5YNHKuhLuO+qKR6WrrrrK8LqEi9PQL+6goe3CfdYrTOuwnvO8YFpnratyzYUAHql4V1GO4b1EGTppBo20dyeNr1IaisN4skLRC09klMfahE9T4XUL5WDSogEllXDPN3hZv8J90VeeQ3TfRDEZRh5WpYyTwLvMOYm+8RK22Wab2ZAhQ0pKMsyxlvWHurRB+3UP6kAICIF2CJSjNdoV/O4G/gg8E9apLbfc0nunIQuhNgJb1jn2ctLqEVgvAp1Q7twX7Zv1Jc86XOS5JjqOauJYpmNMgpcAvFaGNlBAC3zJkBa94p0ThcYo7cx6j6EPZ2G8YkbLKy4EhIAQEAKNiUC9FZ0kQG/M565RVYlA9GBbTRO11q+mz0p1YGDCFKlUrtp8tNmrrZtWD+ZOUC5BiQTBeFpZ5gaTIZ4f6pOO1ixu8Zyb5s0Bi0i+qx6E8JRJC9H0IsYVba+aOMQ4c9l2220tHhCAYwGW1Dr/yrMAABAASURBVC4HrIsvvtjQpN10002NucTLtbW1Ge5DSac8VuFcuQ+BZ5GF0YpWLweRUA9vAhwwuGdjwqXVTjvt5D0LMJbwvKp93rSrIASEQP0Q4Lt7WCzizo5PM6T1dOmll/pPoRx33HGJ60xavXqkZx3zXXfdZVh34BIRgVk9xqI2hUCjIoDXGBQNUaDjG47s35XGiiAZJUQ+pYPQPV4HjzO4GY3TEJXa7ej8SnN3ztkGG2xQGhZrYPgsTSmxTKRoximWqSgg8qzoFpoQhUfieQIeNx544AGvPNnZik55xq2y+REYNWqU4Up2zz339MouaS000t6dNsa0dM6CrDkILXbccUeLn+84+3DmwONCtA3Wr6AYjgLRDTfcUBJWR8slxakXPecklYmmMbagEO6cMyzjUezGQtw559/FpZZayni/Bw4cWKqKMAoLxlKCIh2CgDoRAkUiUInWSOqLcwmCWTworrXWWt5zabQcrsIRsEfTioxnPUOFPqtdh0P9RrniqfPKK680lAvDmFiXmV+4j1/hLWJkwr4QzYP/xd5TD35ptB/FhYAQEAJCoPERkAC98Z+RRigEmg4BBKowXmEsIMTF8iZtEjBnsVJPyycdRkoeS3PqJIWix5XUR6U0LOlxs8q844FvOSFAxwr8u3ZKF+pguY4HAtxKlTIiEQRHUUur8ePHG8zZSJGqovRZjoncCLhWNTFVEgJdBAGYBsOGDfNW5+WEzFhH4roOF3gwEzoTnqxjhqGOQhUW6Hlct3fm3NS3ECgSgeuuu87eeOMN/6mbrO/AGmus4b3S8FkcmLwwB/lkA+7RwthYM4KHoJDWaNcsc0dpCME1Y4fuwsU18+U+GrAmHT58uCEoI905Z0E5kPuiAkqhp556aqk5XLoyrlJChshLL71kKP1CUyJEzFBFRZoQAYQ2eH+C7i+n1NZIe3c1MHN+YQ9nPcIbF5bkWHP37Nmz1ByeXvDiUEqYGmlra/Ou3qdG/X/ywcLfxP48/vjjdtttt5VScd3rnCvdV4pwDgtlONf27ds33La7oozEZ8fCmsM5jHG1K6QbIVAeAeU2GAJZaI34kHfYYYcSnfXggw8aFuF8Yi+Uw2sFn35IokdCmWqvWc9Q0farXYejbTRKHL4hZ9mgrAiNzFqcNj6s1KEVV1ttNTv55JPbKTsgfMebCIpsafWVLgSEgBAQAq2PgATorf+MNcMmRwBiFgZZmAZMNgjucJ/3CoMwWgfhdPS+qHiPHj1s8ODBBiEabRNm0OGHH25YVETTOyreqONi/jBd1lxzTbvwwgsNV42khYCLQJi6uFPHxZRzzls7ONf+CuMp1MH1P661wn09r8m4mnX2867nnNW2EGgWBLBMwwUsjPg0ARsMHD7dsP3229u6667b6VPLMmY8tJx++umG4tDuu+9e1ZjZY4N3jaoamFqpnILR1OzS/yL7wtKt1HAVkXrt/VUMRVVqQOC5554zPmnD5234RmO1TeE95te//rVhyR6E6HzaAKFTtW3Wu17WuSMow1V6YKQ++uijhvArCK5ZR5599lnbaKONDOVP55wfOp+ESFJo9Jk1/sGda1h3wDkvrYYgkPMAVm1YwNY4HFVvQASwqEbZA+trvEWkKbU12t5dFJTscWPHjm1nRYi3BoRQoQ/nnB1xxBGlMpyR+BQWloS817wjCL6PPPJI69evn6GoHOr26tUrRDNdo8IXPsNQznqdNQdPXaFhPH4wbt7VLF7AQr34dfbZZzfWpXi67oVAYyHQWqPJSmtUmjUKefB4UGQOZfGKg0JcuC/qmuUMlaWvSutwkeeaLOPJUwY3+az71GH9xT098XjACwD8Sj5xyN6BMhdu9vl0SCgL3bjLLrsY+21I01UICAEhIAS6FgISoHet593ys62VIVxr/XoAjFAVgju0jbV2LRqQWKyEtrhyyOdaz4DQHs3bVVZZxfiGN0wFmIf17DNL23nHxbesEEqXC1EGS5YxJJXhW1nzzDNPu6zA6EWZAmYQTKFKYfLkyZbGcGvXeME3eXEtuPvimlNLQqAFEMAaCyEzIfpNuOjUWEtgtvA5DYTozk0TIEXLdGQ8y5gZD0Ik3CMiQEQASFo1IbpOIshCcFGuHfbhwIh3Lp+ValF9xdtBWFBuzOQzt1CmI/b+0Jeu9UEARh6CoRVWWMGwYoJerLUn3Ln379+/1Mwrr7xSijdSJO/csfrGnWlgiOJSmU/eoCyAwuLqq69uWB9hdc96yFx/9atfGQIv4kUH3j+Yu9W0i0AV9+3UxT29c527XjMOheIRuPXWW+3qq682FN/4/Sb1wG+1kfbupDHWkoYVIcImPGHRDucaBCHEQ6DMzTffbCj/kYYQfdddd/WKyLzfuOTFUw30wlxzzUURw8Uv77e/qdMfBDJ46KL5MG4+ozX33HOT5MMnn3zir+X+RMswV9ooV155QkAI1IhApHpeWiNSNTHqnLMDDjjAMJigAOcN1ifiRYWsZ6is/bHulFuH4+cR5lSu7VrOUOXajec556x3797x5Hb37B18UhGFRty1BzoaDyLgGD03Q3fhpY19t10juhECQkAICIEugYAE6F3iMXedScKQqmW2tdavpe+0uhyUe/bs2S4bN3btEjLe4M4pSqRzsK+WgZelSwhMBOcoJgwdOtRwf4X1wKqrrtqp39atdlz33XefZ6bCUE0Lhx56aBZoypbBOgFryqhACOE9lXiGRQjpaavoUC2uRY9D7U1DQH+FAMpWAwcONCxTDzvsMO+1IgkVrC9x37zpppvaI488YrirSwr3339/yYLrrbfealcOK8qktvOmZR0z3i2wmEXohYeOpPGSxqcvAgOatnFXTTqBeowPCwuuBIRTYb3lPinAwA9tYhEGgz6pXFJaUX3B7GEPp4+///3vVmnM5FOO8s45C4JE7hWaDwEUImDkociBxQwMziJmwW9qjz32KNFoCH6KaLfINqqdO7Q0SqTPPPOMwQzGap9PDSFY/+ijj4w1EqFlGCsW6dDg4b7IK+1C69EmV+6JZwm4t54wYYLh+SdNsJqlHZVpXARwX37MMcd4j1RRBn58xI20d8fHVtQ9ii68i7THvsv+SzwaWP9uuOEG//kFPsOAm+SDDz7Ye9Rg38ezBp+jePvtt301hCNtbW0+nvVPdO/OUodzIu82ZcO4Z511VmPvJo2QZX2NlmHMWHxSV0EICIH6IlAtrVFpVLzD0B+hXPQdD2nVXlnvspz78rZfbh2Oro31PkPlHTfrMHUwRuK8RjwEzkRYm+PZc++99zY8i4Q8rihasa9EnxWf42AvIV9BCAgBISAEuhYCM3Wt6Wq2rY4ADGHnqrPEcK5xGcprrbVWO8EH7p4QVuZ9nhCKMA9DvcUWW8z4rl64L/KKdikMDFwB4/IIYQXfjCuyj2raatRxRefSrVs322uvvSy4GyWPAxFXGEdFCapor6jQDLgWNVe10yEIqJMaEcBqgrUXjxbHHXecBa36pGbxajFlyhTDXSya+GkBgXWwLMCdXbQcjPyktvOk5Rkz+xnjvvLKKy06jnh83333NebGONj/sEwLZbBII519MFi4YYWPsJn0tMA6zJpHPi6ee/ToQTRTKKov9tMguM+iWAUGlGOQuIBl3MQVmg8B6D9cjUNXXXPNNZbn95dltghp+I1QNmpZxH1nh1rn/r3vfc+w2D/qqKP8t0n51FDfvn2t21S6C8E0Hi2YI+/WJptsQrTuAQYvigtZO7r77ruNdRgLV7wSZa2ncs2BAELebbbZxmDoo0zrXPq5lj2Qtb2z9+56Isu7EazFk4Qg0b4RgIDZRRddZHiTYK9nLWO/Hj58eKkoSkJRJeVSRpkI62yogwJf1KNLUjXK4t0imsdcEN6HtCznuWgZlIBYq0J9XYWAEKgPArXSGpVGBQ+ONYJyRdFZec5Q9JsnsHalrcNFnWu+G09dLgjD2T+ijcNPRVnNOefpwmheiHN2xsNTnz59fBLrMS79/Y3+CAEhIASEQJdCQAL0LvW4W3+yMIQ5KFczU+pRv5q69a4Ds48Q+kFQgfAg3Ge9jh8/3oIgljowFoJ2PPdFBRh7gwYNMtwKrrHGGv77dBCgRbVfbTu1jmuzzTYzDlTlAt8prHZ85erBzCWfvv/0pz8RbZhQK64NMxENRAgUhkDnNoTVBK6dEYTh/aMR1t9KiHTmmNn7gwUFeyRC9HLjnThxot8LKMOnSeJWDaSnhaL6gmZZccUVfTcI9GHq+JuUP+RTjmyYYAjtiCs0HwJ8r/Haa6+122+/vZ01Y1EzQchMoL3wXhBvhFCvuUNb4SobYSTzxHoVJRXi9Qiffvqpvfnmm75pFE19JMMf3uF7773Xl8T7Bkxtf6M/LYEAAhAE57vttpsdfvjh7ZSnW2KCVU4irEcImvLst6E7zk14EeMe18l42yGeJ7BnBvfr0AjQClnrc9amPuVRfAnvLbREOYU98ihDPeecoVBPXEEICIH6IlAvWiOMms9LOOe8t5+oV4qQn/faEWeotHW4qHNN3jlnKR++L4+3nrinUT6PSBsoMpTbV/Bwst9++1HUh/KeQH0R/RECQkAICIEWREAC9BZ8qF15ShxOYQxXwuDrr782QrQcB9pGteSAqMMiOYwXK7q82o8wBwPTjXY4zCNAJ150eOGFF/x3+2h3/fXXN1xVEe/s0KjjyoLLoosuWip244032gcffFC6T4vw7SZcQMZ/62nlq01vZlyrnbPqCYFGRQAmCi7bcbF+3nnnGYyBtLGyL+ACegbloG+/9QJi8qMB18fBUhsGfzSPNtL6qZRezZhRKsMCLDqGpDgWemFvh3GO4CqUO/roo/3Q2GODtSmunCu553v66ad9PZjg2223nY9n/VNUX/SNlSL9Mp/ACOI+KZBPOfJ22mknb3FLXKG5EICpy6diLr/8cltkkUXKDp53OzzzsgVjmQiR8VaAxU4WmjpWvW639Zw7AraLL77Yjx1LowEDBvh4vf5gZYxSK59RqvSNzugYsJLnXebZoKAazVO8uRFAeL7DDjsYihtHHHGEBWFF0qyg69k32Xd5xyuFeu3dSWOrRxoKYLSbV2GNOv/85z8NLzy46YV+4fMN1ZxL4TEEATZ0BO8w7aeFsI6Sjycg9n7iyy67bMnakfeZ5056UiCPMuRB8xCIKwgBIVA/BOpJa4RRowyHZwws0bHgDunVXNkL8p77quknbR1mbeuoM1SecYMvnyVDWYFzj3Pp3lwqtcszYv+gXDMopTPOqoIqCQEhIASEQCoCEqCnQqOMZkQAt2a4Z42OHSYgh9hoGsJHCNdoGoxoGNLRtEaK77jjjgZTjzHBKLnwwgsNwpD7LOGVV14xBK+hLNaJlSyLYNCE8tEr/cKYjaZF4zBqvvjiC59UjgHkC3Tgn0YdVxYIllxySYNhSlmYKbgt5nfAfVKAsYMFFb/rej+DZsY1CTulCYFmRYA1AdfOaMez3qM1X24ufNMSULABAAAQAElEQVS8Xl4zyvUbzavHmKPtZ42zVnbv3t0XR5jmIwl/+L7fE0884XPWWWedEiPcJ2T8U1RfMPNh6tDt448/7t06E48HrNgeeOABn0z5PBavvpL+NAQCKMXxGYWRI0ca1jTlBoWXIsry7MuVS8obN26coUgCPc3vJalMR6fVc+7QSyipQteyBpx77rlWae1Mmz9nDgR2rGtpZcjD2v2TTz4xXMgHq9a08tH0MWPGGOPEDTQeRqJ5ijcvAghAOJfhbSqL1xjckT/44IPNO+EcI+d9Yk9G8TtqBZilCXBFkTgovfG920prZ1q7zjnbfvvtS14BbrnlFq9omFaecfOOk7/RRhuVlNZYW/i8DunvvPOOQa8RTwpYT6IMSR6u6RFUEVcQAkKgPgjUk9YII4YGwCMGV3g1rG0hL++VNjri3Md6Vm4dLupck2X+rOvQuFzLlWe84Ax9x6d64mWXW245nwTPEt6av6nwxzlnoV6FosruBATUpRAQAkKgnghIgF5PdNV2pyCw9tprGxYdoXOYhxBG4Z5rXAAMIwpXiOQ1auDADVMP5h5jvPPOOy18v5X7cgECE4YMjH/KwfSHCeHcjJqYUUtnLNZhBlInBITqCGaC6zruCSGfa1Rh4aGHHppB0A8R/uqrr1K0sBBwocE4MwIX46R3xrjot4jAc9lyyy1LTR177LF2+umnG8+2lPhdBOskmDVbb721dYT1WDPj+h1kugiBpkcAJsqQIUMMxvoVV1xRUrhJmxhrMN9NrYcwlbGg9Y9FBFfuk8ZBeqOMGboBBjXjxPoERTvi8YDCENhh0YCL3biFP3sj1m4HHHCApc29Ql+lLiv1hRt3rJGpgIA8jQH0xhtvGAJ2ylGeesQVmgcBfgtbbbWVnXHGGbbqqquWHTieGRDGISgKv0/oNJiJtJNEN4QGYUpCayI4xwrWuRnpxMmTJ3uLzssuu2wG+i60U+SVMdcy93JjQVGgf//+XoiFddGIESPKKidMmDDBWNcIKKZG2x47dqwXvMMMR0EVASdrXLQMcdaXiy66yM4++2xjXqRlCdDj9EHZtdZaq6x3EcooNAcCvI/8nhCUVvIaw4xQfOM3lMdzAfWyBH6v7FuMhyv3WepVU+a9996zu+++u6JHrVGjRtnzzz9vKASxd2btizWPtQxvHdRhvz7ssMNKAnDSoiHL3o0Xm2BpOXr0aOP7udE2onHmxvmTMcc91XBPOvk33HBDoiAe7OmDK2WpE21fcSEgBIpFoFZaA/4iAlvOCKw/aaODdsAQAt5jUKaJl81CZ7E21HqGKmodZo3qiDMUPEQ+X8U5Bt4o3ycH9zh+KEYeeOCBhidMyiRZjcMjW2KJJXxV1uGkdnzm1D8oM8FPXnzxxQ0vIlOT9F8IFI2A2hMCQqDBEZAAvcEfUFceHoQnIS8GWHIgFIC5TV2IHYgo4iFwz6GVe8odf/zxFv8uDnmNFmCGwkhAWAzRvOeee3ohOvG0scKYQdAaGAgIz2+++WbP5Euq88tf/tKwgCDv4YcfNohPiFUUER599FHbcMMN/Xcbe/XqRRHDnRMWjAgb6ItEXMw5N43pirUMzwOGLu0g2MEFH4xAyhLQ9uV5PPnkkxYVxpJHIK/cHCmz8MILl5giCO2DC16EyTCC6L+WcVXzW2Rc4BYUF7hn3klzJK9cwDvCCSecYAjSQznueVYIRCD8YcaiYbv88svb6quvbkmMInAEz9BGeGbhPulKHVwfJuWRVguu4EMbCkJACNSGAAz1o446ymAC460Et+VpAVekCHiwYCTU1vOMtVnLYQydf/75/pudMPxnLGXWSGN2zhkCQ5gpCKJhbrH2RceNO1X2M9IRZMaVD2C+7LPPPkYZ3EEj5GKO0TaIO1d7X7RDgPkG1uwrCF/iazr3pJPP2LDEoF79glouGgFoVtxPItxmX097r0M6VorQb6wDYSwoRHKPwiiu3xHu8DsO+VwRJu+///5eMAsTeL755iO5XeAdwNKI3ziKmFh3xttpVyFyE6wxI0kVo0XMPa0T6MQNNtjAoBkRerNOBeFYUh3wR+DNukbg00/Qr6Es73+glVhDoLehP6F9KQOdjLXZvvvua9dcc40NGjSoRLeSXynw+SYsaRH0x9eeSnWV35gI8O5gPXjppZcan0OCMR/e46QrZ1zWe9z3IzwoelZZ9+54v/z28YwQT0+750yGh4uNN97YevToYexNrD/R8mCDojgKacOGDfPvSzS/XJzxoESEsjHlcNtOSBKikE95xsC6Vm7vRiHpggsu8Gcx9tSBAwcaayJtRANKa1dddZV1797doCV4btF87ukLHgTloutIKEcaeWlthHK6CgEhUDsCRdAarB0IbDlfIeRN+twidMcee+xhffv2NXh6SZ+TYE3JQmdxvqjl3FfkOuxc7eeaLOswPCx4aTxxyjN/FJvg97FnwFdCERLhODzLm266KZXniRD+tNNOM9bhO+64w1hvaYO2o4HfRlivKU+9aL7iQkAIgICCEGh9BGZq/Slqhs2KAAQmzKb4+NHajKfF7zmQDx48uJQctQKBMAruVykAE5xvyBFvhgDTDEsymPwoB2yxxRaGpdu7777bbvjME2ISBl/AAoL91ltvTSUkaQBhCgw/4oSrr77aYCzCNIBhA0F65plnllzRUQZLGrQ7YSZw37t3b2OcxAkQmxwQaAcBOozcE088kSwfyIepAZNhlllmMYTVWNj7zKl/YG5OnDhxaiz9P0xhFAwo8eabbxoC9Xnmmcd22GEH4zu3tFvLuCCuaTtvgCEWLIaoC4MIBQbmyH2esMACCxjPj2cf6n344YcGYwkX/8wTpjlCIDwOgGkoF64cAmCQhfvouxHSuML8YezEOaDAxOI3xX081ILrzDPPHG9O90JACOREgDUF6ySEN3yehP2gXMDiwDnXzh1pzi7LFmePDcx0xvTss8/OUL7RxswAERgiOETJC8b7KaecYjCYyMM6EK8eKJLBsEGQ6dw0RTHyCQgIozQKc2dvhBlGfjTU2ldoi70VJhyuZVFm23vvvS0I7LhyTzr5jCVpXwht6WpmDQYCezYCMzzroAxR7r0OeZTbdNNNDUWZMB1ouEDH4DYYOhlhHfQbDEYEQbilZD/H8pTfZ6gbvUKbR3/jWIaGdyRaLh6HjsDlcUjHQovfZ7hPuhY193jb4AODFYspLM7w7oN1Ee99vGz0nnUT7EIaNC/CTxi6pEH3YiUbcCYNYRu0r3POWy3NP//8xlrC++hc+/WD8uUC6yp0P88NJYhyZZXX+AhAU7MmQ7sTh54P73DalTIIVMspetQyc35jlfbuePuMnTUD5T3yuHKGIJ4W+LTUrLPOWsrmkwYI0lEuQSGYsyJrEYrB7LkHHXRQJmUTxsLZFy8dvJucBTmDsWfTZ6nDWCTP3s1ZDGFLz549Dc8vCMIee+wx7xGMsx00BIIb1hnonHA2jXVpm2++udEOCtKs1/fcc48//9IGcdLIu+6668p6xYi3q3shIATyIVAUrRFVanr++ee9F0AUaVnPWNew0IaXhvIc99Hy0RFnobNYW2o997EmFrkOQzey/kFL1esMhfAaumquueYqQYZiIcYj0F7w+xgDvFL4Y9yXCiZEUIq89tprDcVEjIbgqYI/ewlrOIZAKEOShoCd8gnNKEkICIFmR0DjFwIZEJAAPQNIKtLxCMBcgvAKTKnoCHAZCVEKYRNNj8Y5cMKQOPXUU30yGqF8M5JDKVfuySA/iQlOXiOHJZdc0mAQXH/99V5QfMkllxiWCnPMMYe/Ev/BD35gEJMQlVgdITQNAupyc3POGVr7CGKxYobZjjUTzD4EqgjPaRvmHa7xYJRghU48ELMw9GHIwrBAy542aAtGAYyQtrY2w8U4lnMQ7zAjsObBSo5nArMRa4wwTpiWaPP269fPOISE9OiVQwjCfg4mENC0sdtuuxnzpn3KVjuuCy+8MBPjhj4I/Dax+gcjGEAwPEkPActxsGI+/JZDepYrzx6GL0Q8zxdsCbiUwkoD5i4MOZjl0fawNuMZ4mEABYOQx9xok2cOM5jxoIxAOe5DOZQcKAcTi0NESOdaC648K9pQEAJCoDoEsHBASIqwNk8LMHVhcuSpk7UsDCOY/JTnikUG8RAaccxhbDCA2KfYw+666y6bbbbZ/PqP0Ip9BZetaZZs7Hes66Etruxf8T2AdEItfVE/BPY/6IGxY8d6d7gojznnjCuKiKSTT7lQR9fGRwArG6wiEZ5nHS3lUEzbeeed/e+WewIWOjAUoQP4XZD2t7/9zSvgwWxEoA7tDS0Qpx8oGwICKeiacI8CKjRAuI9esQSCHoFpDD0EwzfkQ5uSxnjwohOnK4qce+iTdwGBHJ57sH6FXoRGZFwI70K5tOtiiy1mKDNE83m/mSdp0GIo5aJQgEAexRYCcRSbsGCHLmZNoXyegAICNDR1YObqXQaJ5g6333674cEh7ywQzkYVafPWL1e+0t4drcu5AoE3tASfQQh5COARKvNJNfIpF/LCtVu3boZiF2dHzjIIOTijs+ciTOf8wR7MZyc4/4V6aVfeQRSM8Y5Ge59++qlvn3ePtS+tXkjPu3ezFnAW451EoIMnC9Zd1k7OeCeffLKxpoFB6CPpylkYZQmENgMGDDD4FwTipJFHmaS6ShMCQqB2BIqkNfbYYw+vFMN6AJ/HOec/8wCPC48SvNPQWRg9wP9KG30lOquoM1TR6zDzqeVck3UdZk2E9mJ9xMADOgtjG2g89h/2FvhijKdScM55Yxv4Z+xHKJGxvsOfgv950kknGZ6D6A++onP5FB8r9a98ISAEhEARCKiNjkFAAvSOwVm9ZEAA14kIfjmALrTQQgYDO6kawj+Eexwwl1lmGeNwnFQORhau2XGjCMGD21LqcOWedPIpl1S/0dMYN9bVaPnDZIDQg0EHMUlAaxJhNEw3LANgKjiXjehzzhmMRZ4BhChW02jKYp3knDOYpTA4+J4cjIMkrGAQImQIxCxtYTERDgww/3BhiZIETAYEs2jBYvHHPBBCRwPj4FtwPL+k/kiD4EXwDxOGfumfcZAXAvekk0+bWcYF1qF+lqtzzn8flGcTnUM0DqbMBwuGLG1Gy8Bo4pCGsJs5EPg9I+TGuilaNsQ5bNx4442WhC11YXIj6GI8MLajYw1xyqH1iwJEaDdcOwLX0JeuQkAITEeA/TDpvQ7vbdoVwRHr8PSWKsf4XAPCIdqEQZFWgzFhpQoznHWQ+2hZ7jtqzAgLsS5hzAiS2b+iY0mKs09hbT5u3DhvEUZdmGzsg+WY+c45QxGMubHHsE/SX7k9pNq+4uN2btq+jeUaewJj5so9+7lz2fb/eLu67zwE+O3gsYdnmSd8+eWXFleOcc4ZdCC/YQTntAcdwr6OwiJKLuV+pwEFxoSginHhUhxLqpAXv8KcRSDPWoGiJX1GA+8JdAkec76jK0pN0A99RMtniSfNHcE1N/McXwAAEABJREFUgiw8NvFJHSw6EbAh2AMT57K9GwjHoLdpA0tg5gY9xtmiNPCpEebN+QQXrATi0FdTs6r+T9+8y2CAgmbVDaliwyCABTLnFZ5pnoAyVPw3V2lSRe3d0X44V6DUnnRmYF54uCKfctF6Ic65gXMkZxn2V+pMnjzZ4AeQnnaeCfXDlfcQmgJBCh7UWGtQOuKsz3sTypW7Olfd3s25lveS8fMM2XOhrVAQZ20o12fIAwc8xXEWpg0CcdLIC+V0FQJCoHgEiqQ1oOfDmgDdgWIzV9a4IUOGeBqMMpVmwZjK0Vmsd9BPrBV5AmtT/NzHGsN6yxhZx6pdh6NzYo71PkPRB8J6lDihs/r27WsI4EmPjiVrnE95BhxYx8EVPMAMJU/ys7alckJACAgBIZALgaYpLAF60zyq1h8org/R/gtEC4RLuQCBN378eO8SsRw6aCBirQsRRHtcuSe9XL1mysOdEFYv8THDyMdSPZ6ueyEgBISAEBAC9UQAwTWM867IdEBYhvXJhAkTvMVqV8Sgnr8ttd25CCCUwhIbpUXnsgmfO3PEMFUR5sEIxQKd8wYM6mrG5Jwz3meY0HxaCOYtAvNpbemvEGh+BJpt70YBmE9C4KEMwTWfrnCuunVJe3fz/341AyHQCgg0G51VJOZah4tEU20JASEgBIRAUQgkC9CLal3tCAEh0CEIOOcMV/S4fIt2iAs8mAlY30XTFRcCQkAICAEhIATqhwBWeXwXlb3ZueqY+fUbnVoWAkKgFgSwdsVtNK5Ya2mnoepqMEJACJj2bv0IhIAQEAKdi4DW4c7FX70LASEgBITAjAi0pAB9xmkqRQi0PgK43hw2bJjhtj06W9zY9enTxzMEoumKCwEhIASEgBAQAsUjwDf0+MwGLhsXWGCB4jtQi0JACHQKAniy4nubuFG/6KKLDEv0ThmIOp0BASUIgVoR0N5dK4KqLwSEgBCoDQGtw7Xhp9pCQAgIASFQHwQkQK8PrrW0qrpCoGoEEKIfd9xxhpvKlVZaqdTOu+++a7179zbcvH/++eeldEWEgBAQAkJACAiB4hB46qmn7OSTT7bRo0fbyiuvXFzDakkICIFOR4D3euTIkXbXXXeZlGM6/XG00gA0l05GQHt3Jz8AdS8EhECXR0DrcJf/CQgAISAEhEDDIiABesM+mmYdmMbd2Qg456xXr142btw4e/nll22//fYzviX0zTff2LHHHmtzzTWX4er98ccfN1y8d/Z41b8QEAJCQAgIgVZBAKH5mDFjbLHFFmuVKWkeQkAIfIfAlltuaVig9+jR47sUXYSAEDBrfgy0dzf/M9QMhIAQaG4EtA439/PT6IWAEBACrYyABOit/HQ1t/wItFAN55wttdRSdskll9jHH3/sw0MPPWSXX365zTzzzDZ8+HA76qij7NBDD7VJkya10Mw1FSEgBISAEBACQkAICAEhIASEgBAQAhUQULYQEAJCQAgIASEgBISAEBACQiAFAQnQU4BRshBoRgTKjbl79+7Wt29f23nnnW3YsGF22WWX+TB06FBra2srV1V5QkAICAEhIASEgBAQAkJACAgBISAEhEADIaChCAEhIASEgBAQAkJACAgBIVA/BCRArx+2alkICIF8CKi0EBACQkAICAEhIASEgBAQAkJACAgBIdD6CGiGQkAICAEhIASEgBAQAkKgoRGQAL2hH48GJwSEQPMgoJEKASEgBISAEBACQkAICAEhIASEgBAQAq2PgGYoBISAEBACQkAICAEh0OoISIDe6k9Y8xMCQkAIZEFAZYSAEBACQkAICAEhIASEgBAQAkJACAiB1kdAMxQCQkAICAEhIASEgBCoiIAE6BUh6hoFvvnmG+vWrZsPX331lX355ZcKHYjB//73P489zwD8u8avTrMUAsUhoJaEgBAQAkJACAgBISAEhIAQEAJCQAgIgdZHQDMUAo2CwH//+1/Pz+XaKGPSOISAEBACQqA4BCRALw7Lpm5ppplmsv/85z8+jBs3zm/+CHMVpikV1BuHjz/+2GPPM5h55pmb+rekwQsBIZAbAVUQAkJACAgBISAEhIAQEAJCQAgIASEgBFofAc2whRD4/ve/7/m5XFtoWpqKEBACQkAIfIeABOjfAaHLdAS+/fbb6TeKCQEhIASEgBAoi4AyhYAQEAJCQAgIASEgBISAEBACQkAICIHWR0AzFAJCQAgIASHQdRCQAL3rPOuyM/3Xv/5lSy21lA+ffvqprbTSSgodiMHnn3/usecZvP/++2WflTKFgBAQAkKgQATUlBAQAkJACAgBISAEhIAQEAJCQAgIASHQ+ggUPMMJEyZ4fu7EiRMLblnNCQEhIASEQCMgIAF6IzyFBhjDT37yE3vllVd82GSTTeypp55S6EAM2traPPY8gx49ejTAL0JDEAJCQAgIgWZAQGMUAkJACAgBISAEhIAQEAJCQAgIASEgBDoegcUWW8zzcxdeeOEO6VydCAEhIASEQMciIAF6x+Kt3oSAEBACQkAICAEhIASmIaC/QkAICAEhIASEgBAQAkJACAgBISAEhEDrI6AZCgEhIASaDgEJ0JvukWnAQkAICAEhIASEgBAQAp2PgEYgBISAEBACQkAICAEhIASEgBAQAkJACLQ+ApqhEBACXREBCdBrfOpff/112RYq5ZetrEwhIASEgBAQAkJACAgBIVAPBNSmEBACQkAICAEhIASEgBAQAkJACAgBIdD6CGiGQkAIVIWABOhVwTa90ocffmjdu3e3OeaYIzF89dVXJiH6dLwUEwJCQAgIASEgBISAEBACtSKg+kJACAgBISAEhIAQEAJCQAgIASEgBIRA6yOgGXZNBKZMmWI//OEPE+WuQR77wQcfWD3/SYBeI7o9evQwHuRHH31kSYEH/L3vfa/GXlRdCAgBISAEhIAQEAJCQAgIgRZBQNMQAkJACAgBISAEhIAQEAJCQAgIASEgBFofAc2wSgQwXP73v/+dKHcNstif/exnVbaerZoE6NlwUikhIASEgBAQAkJACAgBISAEhIAQsMaE4IknnrDbbrutMQenUQkBISAEhIAQEAJCQAgIASEgBISAEGg6BLr2gCVA79rPX7NvcgS+/fZbmzBhgh199NG26KKLGt4OnHPmnLMf//jH1rt3b7viiivsn//8Z4fPlLFdfPHFNttss9n2229vfO6gwwfRiR2+8cYbHv+ZZ57ZPw/npj0X5/Jf+/bta5999lkhs/nvf/9rxxxzjP3oRz+yww47zNDiKqRhNSIEhEBDIMA7fd111/n1h33AOWdtbW12+OGH21tvvVXzGBFOsdfsvvvuNbcVGmC/GDdunG266aZ+73LO+f1sgw02sAcffLDmT+HQ/t/+9jcbMWKEHXDAAbbmmmvakCFDLOs/6rPXgm3WOlnL8Zmfm2++2T+vsF/w3Pr372+vvfZa1maMMT7yyCO24YYbljCkPTAFW/IzN6aCDYkAz5BnucMOO9jcc8/taQt+K9tss03u94TfFr8xXJ45N40uWWmlleymm24y6IQiAaCvAQMG2AILLODHzO9y3XXXzd3X+PHjbfbZZ/dtODdtzM61v2677ba27LLLVh5+rMT//vc/23///X3bt99+eyy3ulueV1Hv5OTJk+3AAw+0eeed14/ROWfLLLOMXX311aLjqns8DVfrk08+sfPOO8969uxpvCPOTXvGp556aiHnuHrs3fUeM+9Qnr27qP00y4+jqL7A8KSTTrJFFlmk9G63TaXZzj77bCMvy1hURggIgWIQYM0pgs4K7UCDQ6c55wo911jkH2cTaIHlllvO9+Gc87QSNEMR577nnnvOt1crP4o1c+LEiXbppZfaXnvtZauuuqqNHj06MpPs0QsuuKC0XjrXng50LvkeGvS9995L7KTeGCZ2qkQhIASEgBDoWARq7E0C9BoBVHUh0FkIvPLKK9arVy9bfPHFjUM2xPn5559vo0aN8gGi+c0337S9997bfvrTn9rBBx/coQdxCPZTTjnFPv30Uxs5cqRdc801nQVVp/QLI+TJJ5+0jz/+2DbZZJN2Y1hllVXs+uuv988pPK/o9fe//71ttdVWNtNMxS/RHArPPfdcz3D93e9+Z2PHjm03Nt0IASHQvAg8/fTTXni08847G+/6559/7ifz9ttve4Ex69LQoUOrFkgjxEFh65tvvvHtFvEHl0soWfXu3dvuvPNOC2Omj3vvvdfWWWcdO+igg6oS6sF8Zn/EndP8889v9913nxeSIZQfNGhQxeEHBhh77XrrrWd8sqdipRwF3n//fUNJAAEo82e/oM+XXnrJYDItscQSfn+H6VSuWTDbc889DcWAWWaZxdj7aQdG0U9+8hMvnEc4CIOoXDvKa1wEou/JjTfeWFJK5NmjgMF7st1223m3ZuVmwW/gyCOPNH5bw4cP9zRKKP/MM88YAujNN9/c/vWvf4Xkqq/RvmCYvvPOO74tBPQPPPCA7wsG6qRJk3x6uT/8ni+55JKK72C/fv28wlC5tpLy7rrrLrvsssuSsqpK47kU8U4ybxjjCy20kCHY51mzNn711Vd26KGHGkoQKD6gtFnVQFWp0xHgGd9xxx3GHnXEEUfYCy+8UNrvXn75ZTvxxBPtF7/4hfesQNlqBlz03s046jnmavbuovbTLPgW1Re0yMILL2ycy8455xxDkYeAAvoZZ5xh5OFVI8uYVEYICIHaECiKzoq2U/S5Jj7DcO5DqZmzA/QBZTivXHTRRZ5P+Mc//pGkqgIGHJz7aK+qBqZW4iyCEvess87qz6goJJ9wwgn22GOPGTTb1CK5/kOfohCdq9LUwigdooQ5Ndruf70xbNeZboSAEBACQqBpESheOpMPCpUWApkQgBEF0x+LGxhImSolFIJpd8MNN3gt77POOiuhROMnwUgHCyxsIPhggsJsQTsUyzoY8QTm9/ZUoQkHcASxaGpCOFKnI2aJ5TmWTaGvn//85yHapa4IM1BmiE56iy22MCzIeE5JAa1cmKQvvviiZ5pF69Yan3POOb1XANrBwqV79+5EFYSAEGhyBJ566ilbf/31veB16aWXNoQ3rDWsQWFqMFYGDhzordxggIf0LFf2T5Si/vKXv2QpnqkMTBCEfmPGjLHTTz/de1TB2gyrTQTWoREEZ3ksxhkrzGiUx2D8rL766sZ++Ic//MEzb7CgD20nXcGG9RfhHoLteuybzH2XXXYxBIlY58JAD89qwQUX9Na5PEfGj1UiY0oaK3PFmwjCUDBjjtBKlGW9RyELCxgEmAjcKE+eQvMgwG+F9wRFO54t8d12282wponOAiYpeZSPpoc4z57fADQkSpUwW3nfnn/+edt1111DMbvnnnu8xwoEOaXEnJHQV/hdsxaxJvGbjjaF0J51i/czmh6Po1DC/GB+ImhMCksttZTts88+3iopXr/cPX0juGR9LFcuax5zL+qdZM4IyVkbbr31Vq8M45yz7/pvxK0AABAASURBVH//+36uF154oSFk3Xjjjf0al3WMnVxO3UcQ4BnzfiCoWHnllf1zRSGGZxyKffHFF7blllsaZUNa1iu/x6L3bsZRjzEz1mr2bta8IvbTLJgW1Rc029Zbb+2VnlCq5vlCmxA22mgjr3yOII53m7JZxqYyQkAIVIcA7zX0U610Vmin6HNN0qxYF6CfEExjrPLuu+8a4aqrrirxj1hToe/+/Oc/JzVRNo1zB0J4lI/LFkzJhH97yCGHGDxAznDwt1A+4kyDlw3nXErN8skoFTF39kj2Iei+tLDHHnt4QyJaRDm0W7duREuBduqJYakjRYSAEBACQqDpEZip6WfQqRNQ5/VGACIQ4SPCWJj+1boBx4X5aaedZlhi7bjjjl7AUO+x16N9CFmITrCA0denTx976KGHDJdNSf398Ic/tF//+tfe0hkiEzwhEiEWk8oXmYbggkMITFpcgmLVVGT7aW1xcKnmkJDWXhHpMLxxmZ63LRjN/fv3z1utbPkllljCbrnlFu+RgAMRwqGyFZQpBIRAwyPAHoeVNhbmaPbj6pjPd4wePdpbkl577bX+sw1hIihWIXQJ91muuH+lzSxls5ZBMI4lJS6ejz32WP8pknnmmcfY2+6++277zW9+U2oKK8x//OMfpfu0CMwZmM9HHXWUFzIhdEIhab755kur0i4d7y477bSTgVG7jAJv2Mtx2YrwHJfMjPX//u//2vXAvnH88cf7ND67cf/99/t4/A/P5PLLL/cufwcPHuzdt0fLQAeALQpTlKN8NF/xxkaA3wpCaBiGCK0QeGOBjqLEpEmTvPC0Z8+epUnwm0rz+IMC6qOPPuotXIcNG+ZdgPO+Lb/88kZ7KJiicElj0Amvv/460aoCY4SJC9MUzwqsRfz2WJugRWFkhobpB6EZcw1p8SvWRgiRURjFkj0psKYxl3jdcvcwl1HeYQzlyuXJY568a7xztbyTzGfAgAEGvY/iwy9/+csZhsGZBg8ZjJ89AKv/GQopoWAEimsOzwGck7DCw0oPzzF4QmC95zzDPhTeSX4H7AkffPBBrgEUvXfXa8zV7t2sG0Xtp5WALaqvv//9717JEatOhHYIyeN9r7XWWkYeZVA+ok68jO6FgBCoHQHe66LorHqca5JmiMIVCrbQBvD14LNxziEgNMawhjWEuihgQeMRzxNQHmYPylMnlH311VdtxRVXNLxjovDIGInD0w1lqrmi2MlcoH04E0JbsmemBc5X7J3du3e31VZbrV2XHYFhuw51IwSEgBAQAk2NgAToTf34ahx8g1aHiIWBgKAXl3VoPkL4VDNcmPJY6SDMxVVQszOWYJ7CSAcLCEGsiHr06MFt2YBWOwoEFOIgjpY+Fjfc1zNgDQSTFg17NOrr2Rdt89vh9wLjiftWCLh///LLL+0///lPIdNxztkaa6xhPBeuzlWn/VvIYNSIEBAChSCAMgxCKpSWFl100XZtsvYiEMZVaFDkYR9AsaldwTI37BdYsOH2PLRRpnimLD7zEYR9SfsY44ZpjNIPDSJ0++tf/0o0NcDYZ12j3e5TmSXggqDOuezrHFbbCOuwCEPxIGlsqQPImIFgDAYQxRGctLW1EZ0hwPxi/tBAKM/FaRgEKdABVKRsVJBKWgikk8895alHXKHxEUBIft1119mVV17pLVB5L6Kjhs4aO3asVzoJ6fx+Eb6Fe67cI9jld7fkkkuS1C4454x3BS8GZGD5SN/E8wb6wusRawYKnyhwRtuAwcv6A5M3pMMETeuPd593kU8SwYgNdYq4IlzkzIH1UhHt8W7xjtEW7xzvHvF4IJ180ilPPeIhQM/ixhkGMWsZ3opCXvSKYjA0PWm4in344YeJKjQJAryrKL7xfqM0FR02yk8oQfP+OzdtD8MDDIrT0XLl4ol7d7kKGfLqMeZa9u6i9tMMU/cKS6yhlK1l78ZalHE75wzXy3EFOtonjTznnO+XOqQrCAEhUCwC0B6ss6zD8MyqpbPqca5Jmymf0OAzjscdd5xXFo6XwwskwmPnpu0dKAdjER4vl3YPHUfb0Bco+qaVS0p//PHHDQ9e7FecSTl/8qmZpLJ502gTZavf/va3JY+K5dp49tlnvZcPlCvjZ616Y1huXMoTAkJACAiB5kNAAvTme2YtO2KsQLB+gdDCKhbGd7nJpuXh4hxCDTd4MJ7TLHHS6jdqOswFrBRgpDNGDtUw4IhXCs45g1GJRTNlsVQ58sgjS9/YI60VAoJzrDNaYS5hDrwPHOZgpIQ0XYWAEBACAQGUaxAu8X25tra2kDzDlT0x6tECS1A0+WcoGEtgbz755JMNK8etttoqllv9LW6jsZiMu6GOtohA4Ve/+lU0KTWOoAArLvY3LPZwXQ4DJ7VCSsbPfvYzC8wzBBhYkaYUrToZ4fyUKVN8/bXXXjvV5XR0/vfee6//XqCv9N0f9jyYSdyiOMB4iccD6eSTTnmElcQVGh8BnjtCcoTbaaNFiIqXAeemMUp5F/BKES2PNRCu/FkHounRePR3Ek3PG8dqCc8SuOt0btqY4m0gVGfNQjhMHgLkNAUZvEhQBkUgrkUFmOZ8X5rAt4aLaLeodxJGPJ4zGBOfXyq3TrI28+wQumPhxZ5APYXGRgDlCBQ4UPDmHU4bLe8+SuUhn08vhHi5az327nqMmfUqz94dn3NR+2m83aT7IvpC2TEI4XFtzPud1Bdp5FGGeFCoIa4gBIRAcQgURWcVfa5JmyG8TgTi8LygpdLKRdePtDJJ6dASGKRwxRNoOBMllY2nYWmO8QdnHOi7oHAVL1ftPUYleDbifFSpDc64eFOiHJ7JfvzjHxP1od4Y+k70RwgIASEgBFoKAQnQW+pxNvdksJpAYxEXkxz6cf1YzYwQCmCpjYUtDDws0erBAK9mbJE6uaIQsFjz4N6PilgA8j0j55IZk5SJBwhN6oR0GHNYLYX7Zr/CgIHIDwoGzT6fMH4OH2gQcw1pugoBISAEAgK4dEZggqJNSEu6OucsyoSHEU69pLLRNPZTBGJYIhS5lzJeBAPRvuJx55wF5SEsLfBKEy/DPW74sCBFeM79vvvua3wXj3ijBXAPAmy+W1hOcOecsxVWWMFPAToAYYu/mfqHZ4fFzNSo/5/k3tlnfPcnmk871P8uS5cGRQDmH3QatA0C0nLDXHbZZUvfvPzkk08MIU20PIqp+++/fzQpMR4YpXhe4J1LLFQhEQtZvEdAd5YrisIPVkGUYa7xMZOO22JcoqJEyvsPQ5i1CIUAGKCUqSZwzhg8eLB36VlpHcraPu9UUe8kSsRYWdE3z4G1gnhSABdc8ZP35JNPGsJ34gqNjQDKTLwDq6++etmB8u4HbwUUnDx5MpeKoR57d9FjrnXvLmo/rQjm1AIF9WV8ZowwtUlD0X/22WcnmhjIowyZrHkI6IgrCAEhUAwC0B5F0VlFnmvKzQ46DQ8/ePOpVI6ylEHRjs/gEK8UEIKjhMxntMopd8XbYW/CwAfhOXkI+MspbVImb+BMFD3PlKvPp34ee+wx/4mroEQcyoNLPTEM/egqBISAEBACrYOABOit8yybfibrrruudyuNa0kY5hA6PTK4J49PHGYcwmaYhWhlQmSlfSM8XrdR77GSwd1lGB8WeYsttli4zXwFY4TvVEDQjKsqDg7c5wuNVRrhOdquQXjSWKPTaISAEBAC9UOge/fudtZZZxmW05V6wQ1f2ANgpLDXlquD0ArLVgRN5Swgy7VRSx4CNawsaANrVpjJxOMBgTQCJ9IRJGHZWmlulO2MgABiwoQJvuu55prLKtE50ES+8NQ/TzzxREkwiuIErgmnJhvCtWClxn1SIJ9y5FGP+sQVGhsBXKCvueaaFQcJkxNhHAW7detm4T3nPmuAHkRZhvLbb7+9LbjggkRzBz7bk8VaHGugsK445wxBYbwzPErh6jikE4epi1U+7zoW1/FPG4Sy5a433nijIWxGGM9ZoVzZrHm8U7xblOdd450jnhbIpxz51KM+cZ5DWM+4Z65c0wI4hmeF633aSiur9MZBgGd2+umnJ/7u46OM/gZ41+P58ft67d1Fj7nWvbuo/TSOX9J9UX2hYIRCHH2wZkOLEU8K5FGGPOpQl3jnBfUsBFoPgY6ks7Kea4pAeeLEiQZdwacss9Bk9In3okMPPdT2228/y+N2nfXp0ksvNdZJ2qEu3i+Jd1ZAEQBFRPjAQREp71iqwTBvHyovBISAEBACzYGABOjN8Zy65ChhpBVh7QZjjANoM4PI9xmjri1RCghMtzzzWmihhSzKhHn00UeNb0vSBt/GpF3nnHcn65zzQhnyQqAMGqxobTo3rRzMz2AZH8qFK8Q0wo8BAwYYrudCevRKGRQEYIii9BDa4op7XxiDzjlD8IPrvLjFEUxGCGOYqqFdvhno3LTx8eyDpn/It6kRGK4oJWy44YYeEyylZpttNmMMWOfH+5lapUP/45IZoVhap4zvzjvvNCxXwvPgfcFFK5in1SOdunh7gEE+ZswYkhID1lS4TsXFMBjyrGBmI9Bxzlnfvn2N5xStDNPu6KOPNp7JIoss4pn4/EawoEMzOVpWcSEgBGpHgO/coVSVtyUsnxG0pdXDQhPh+TrrrGNFWWim9ZWWDrMYYRACcQToSeVw/YwQIuThZp65hftGu7JXISBjXPPPP7+xRxFPC+xNQRj65ptvGswgyhJn7sRRLKAc8bRAPuXIpx71iSs0LgIogUBzQQ/nGSVKGShn5KlD2RdeeMHuvvtu22abbQylGeccybkD6xHrUp6K/Dah86J1+F4nVlDRtGj8ww8/tEMOOcSwvs9jmQmdctJJJ9lpp51m0CfRNmuJ807xbtEG8+GdI54WyKcc+dSjPnGst7A2JU7gUz5c0wJrSBQ7zgxpZZXeOAjwzKCn844ofI4rrV499+4ix8xvvta9u6j9NA3LaHoRfXGuiq5Vld5t+o+WoS5tkK5QBQKqIgRiCHQ0nZXlXBMbYlW3nDOGDx/ura+5Vto36AQ+z+9+9zuD94YA3bnsNCDrIwZMtEPYbbfdbM455yTaKYH5w8Oic7yvBVqL+6yBNsAO/hrXLBhmbVvlhIAQEAJCoPkQkAC9+Z6ZRtwFEUDYGZ02DNXofdY4QvcosxCtVDQrqY9wAk3Nfv36cZsYKANjbuzYsZ4gTyw0NRGmyNlnn+0tIiE20UjFpejUrNJ/rGT47h/up7BowAoIYSyW8XfccYehKXrhhRcaDFQqMVa0Z8877zyDwCeNsN5669m//vUvO/PMM7n1gThlCNTH3ZPP+O4PjEkYvAh6GScCZ9yEIqhhXDCPcXUKE+q7Kh1+Aee0ThGgbLDBBnbAAQfYdtttZ1hSgQtMdoTqMJM5xDD/0AbxSZMmGYIofgerrbaajRw50vjMQSjDlTnj7grhOkxZfg9hLLiDBO+gXcxnF3AFHOrBjMYzAkI56sCk/vTTTw0FCr6lxbj4jVFeQQgBJSybAAAQAElEQVQIgY5HgHX0iy++8EpSG2+8cdkBoDAFQ+TEE080FNHKFq5DJus0Qrzf/va3XpkrbQwwo8Ka5Jwz1iz2EZR+EJLhzp3PYNx///3WCIxnMA1wscbCvAv3SVeE56yp5GG5EpTp2LtZ10mH2ZWGD/kE8ilHnHrUJ67QGgiw1wbX3bh7zsu4hK444ogjPF1x9dVXWxYr11qRw30zHoRoB2ulYGnJPYH3g/cWOoVy11xzjf8MxUwzzUR2KfBbhjZ55plnSmlpEZQnDzvsMN9O0Z95YBy8W/TNu8Y7RzwtkE858qlHfeIoBvA8iDuXbJlPXjREnxftNMJaFx2f4rUhwDmFFrp37+4/O0A8LXT23h3GVWnMRezdRe2nYczlrkX0xZrHWSz0w/MM8bRrtAx1aSOtrNJbGwHNrnMRqJXOynquqXWW0BMjRowwvFaNHTvW8NKYpU3oLZQWzznnnNw0IEYpU6ZM8d2gQInyNTwlDC84g3EW40wGnUa6L1jHP/AimT9nrI022ih3T9VimLsjVRACQkAICIGmQaA9B6Jphq2BCoGugwAC4MCECLOGMA3xPFeISFxGhjoQhy+++GK49UISLLBLCSkRLIt7pLjX53CPNfn48eNLwu+kZhDiwsSEwEdAQBkso3HHiWAbQhzNTxinl112mQWG6RlnnGFRJgb18gRcU/F9JgQuKARgKR3qMy++h8T95ZdfbliiE+/oAIYIwpP6RVlgl1128Vk8O6yvEPgPGjTIULTATRfCI9xvcRDyBaf+wbKM5wIT+ssvv5yakvwfjwQEvqnJ7yOUwtUp3yG95ZZb2lmjBqYtQnwUIvh98S1ihPnUxToeQT9KH1OmTMFazCs8kKcgBIRAxyLAe0yPfJNulVVWIZoYWGNZL1hvUXJKLFSnRPYB3LqyF7HG4XnktddeS+yNPYK9ImSy/rDW4W1lxRVXNNZz1nKYQQjY2DtRLqKPUKcjr6yp7EGhT9brIBwPafErzPOokC0oo0Xbwdq4UjvkUy60H60f0nRtXgQQmqIgg6XMzjvv7JVkssyG3yTrAt5sYLSiwAjTkfQs9Wspg+JieLf32GOPVFfWCJqhSaB98JrDO4CVFF6DQv//+Mc/vPC/0u/6D3/4g2HpjdImNHGoX8Q12jfvGu9cuXbJp1woE+ojIEPQTzq0VBbLKSyDKU8An45gUNOXQv0RYJ8Ln1bAaxYKxmm9dubeHR1TpTGTX+vezRoV3hn6rmU/pX65UFRfKLZwjgt9QbOEeNo1Woa6tJFWVulCoIERaPqhVUtncebIeq6pFST4hkceeaT179/f4HWheAhNUKld6DGUKAl4pKxUPpqPcm+Ub8UZDKML1mQE6ZzBOItxJkNZEnoFWpN1NdpOkXGUqOF5YdhRbs9M6rNaDJPaUpoQEAJCQAi0DgISoLfOs9RMWhQBmGhYZofpIWzG7WO4z3uFaI3WQVgbva81jgXR0KFDDQsmBNRp7cEQRZiBkANrcMphWffcc88ZruURdiB8pdzee+9tuIKiDEJYLKSJVxNoH+1X6gYLH+Ih4CoPjLmPCqC5LyogFIJxlBRQHlh++eU9gzfeHwcNtHfB59RTT51BOxj3/FiOUw8hOlbp/H6479mzp6GIgMLChhtuSFJi4NCzww47GK6bg+U+FqtYkKOVjCtnDkWMHTfzWHDBzEHIRYP0h4Y28RAQsi+++OL+FmWQon9zvuEO+6OOhEBzIgCD49577/WD5/MYvJf+JvYH4Q3KTVgsVLJSj1Wt6ZZ1hLVlmWWWsS233NICwwfhHp5MWM9YA6OdwDxnTQ9p7CF4vsDiAQY95d955x3vBYMyrE8HH3ywMf/OEDDBlGGMjKXa8Prrr/uqQfDob6r4U2v9KrpUlToigOt1fvPsydBVlbri9w8tteqqqxrKNDCGqQPDFYYnim+UIa1eAUE9dBgMVWi+rP1gmY6SIBb3fLIh1EPIGGiRkBa9slbg1aJeikG1vlOhPpiwVkXHnifOmsc6nqeOyjYuAjxP3lWUY3gv0xQ/eOadsXcnIVdpzEXs3UXup0lziKYV1RdWkdBi0bbzxKlLG3nqqKwQEAJFIGD+Ezd56KxqzjXVjpR1AU+AKOVxXqIdeEEYpvBZq8D7Ij0emBP8pZ/97GeG6/Z4fqV71vtAv1AWRWaUBrC4ZwwElLvgIZGPl53NNtvMhgwZ0s6rJHlFBM5+4bwLPYsgP0u7tWCYpX2VEQJCQAgIgeZGQAL05n5+Gn0XQAAGJkyRek0VbfZ6tR0X1if145wzBOU29R+Ca6weEaxPvS39d87ZuuuuW7qHSVq6yRmB8YpQnmrxfkiLBhQXOPxE04qIX3fddbbtttsmBlzKB8FRvC8OH1hPYTWfpE3rnPNuSUM9BO0IrMM9VyyeshwkwAisqEPAujy4/+d5bb311oZLfayjYOYFSzDu6YM6SYHfMgenpDyldQAC6qLLIoC7VDTyEVTh5jwNCD65gZC3HhaaaX2SjnXGPffcY3369LG11lqr5HWEPAIuABGwEw9h8uTJhrAp3LN/oOwDs4h1ivT555/fSMNi1blp3/NDmQiBI/kKQqDZEcBrDJ9kwVvBMccc470JVZoTwmvoCT6tgtCdPT9aB48zfD4BRmQ0vag4tAAWSXgXOv7446v6ViY03JVXXmkwSMO4UO6j7XAfrqShoMja15GKQaF/XYVAtQiMGjXK73N77rmnV3ZJa6ez9u6k8VQas/buJNSUJgSEQKMiUA2dVc25ppr5Q99AsyHI3nHHHS0YLYS28NCz00472dtvvx2S2l3vuusuY6xnnXWWBY9X7QpUuKHfYDzhnDOs3vn8F94znHPeIxJGHtBnAwcOLLWGwP/5558v3RcVwZr+gQce8P1mpfdqxbCosasdISAEhIAQaFwEJEBv3GejkQkBIRBBIAhoSUKpgGs1AbfAuBtH0IKLq3JtYHGAVm65MtXknXnmmV7jFsZ0PCAMwn1WUru4x8ICn0NImktPhNy4x6c+luNYkxGvJaDYgGV+WhsI0GG0c1gC2wUXXDCtqJ93LZZVqQ0ro0sgoElWhwCMgWHDhnmvFeUYJE899ZSde+65hrC5o12377DDDt5LBsJtLMixtNp///1LE8aCATeAUaUvyoT1hHUPRolzrlQnRJxz3r0zn7sgjbYQNtRDQYr2FYRARyKAUh6eFxBEZ3W9ucYaa5TeNxinvFdYZiPQDmNnzZg0aVK4LfSKddAjjzxifBeT97baxvGkwXqF8gBtgAN0EvEQoLNQosG6CAt0aJaQp6sQaGQEENrg/Qml2XJKbZ25d8fxyzJm7d1x1HQvBIRAIyNQDZ1VzbmmGgwQemNBzvnpiiuuMHg/GF307Nmz1Bzeq6666qrSfYggVEe5kPpZ6cdQN1z5fFCIwwPq27dvuG13RVETOhWvQ2RAqyWNibx4yHP/0ksvGRbxfPoHJdEsdWvBMEv7KiMEhIAQEALNj4AE6M3/DDWDFkcAgg4CMEwTRiDM/3Cf94pLpWiduJZqNK8V4845wwIJK62ohTVC+dtvv90Q2CB47qy54z6Lb0RtsMEG7YaAoAdmM4m4x3fOec1a59pfe/bsaUELmLIcjLjWO/To0cNgTK+22mrtuoKRdvjhhxvWKO0ydCMEuh4CnTZjhMW4gIURn8YgQYDGpxv4DETU40dnDRqlqQsvvNAQ+IcxYEEPYyTcIzxnT+QepaJynzeBcbPLLrtQ1Idnn33Wokwfn1jnP+znKDnV0k1QZkKRqpZ2utreXwtWjVwXt+Qo5e2zzz52yCGHVD1UvMf8+te/NizZgxAdTxSPP/541W2mVcT6FGHg2muvbYy9VoE2n3iArqM/BHMIyomHgNcilPxQDiq3RoTy1V6Leiex2kJxsdpxcGZgram2vuo1BgIo8KLsi/Ug3iLSlNoaae/OOuYi9m5+40Xtp5WeeFF98W5n8QKWNh7oHM6JaflKFwJCoHgEiqKzspxriho99MjYsWPbeejBEAMaKfQB7+v000+3RRZZxHbfffeQnPuKIDxUwutXlL8W0sN1zjnnNLwYhnu8IUXHFNJrud52223eYANvZqy51baVBcOMbauYEBACQkAItAACEqC3wEPUFFobAZj+ENxhljAdsFIO93mvaGRG60DIRu+7Wpzv8KF5CwOWbzWdeuqplsa45KABYxbX7mmB9oJAp1osYWRjHRatD4MMjWLSYDjTR5aAQIw6HRlQ0sCClO+qDhgwwB+U+KZxR45BfQkBITANASzTYJAQot8LnpY77S9rCUJ2Pq/AmuGcm5bR7m/H3zg3zXJ8zTXX9J3DnK9FKWiZZZYxlH1oDKFERwvQ6TcqBMni5YQ9/6uvvqKqV5oK9EC8HfYnXyjlD/n0F7K7+t4fcGjmK3QBnnRWWGEFwzsD9GKt88Gde//+/UvNxD8DU8qoMsLvECVB6AQspbAgr7KpUjXnnOFdqJQQiYARa1pHKAYV9U4iJAvvOe8+a0BkSonR6Kd/qFvEbyGxIyV2GAK33nqroTCL4tvKK6+c2G+j7d1Zxpw4kQqJaXt3/J2DRijXFO8S7xRlnHPGu0I8Syiir27dullUiSf63qaNIVqG9ZI20soqXQgIgWIRgIYoks5yrthzTbnZsl6ghBz4WigvRoXVCJr5dBZ8JXhP5doqMg9ji6A4GR9Trf1wtsN9O+1gjOJcbefZShjST+sHzVAICAEhIARAQAJ0UFAQAg2MAAdlrIqjQ8QNU/Q+axw3vlHhA8QrguOs9VupHAyJgw8+2BZaaCHDvROurvjGbjnLgBdffNGXR5s1LaBVGxVSVIsZLk2XW265UnWYzl9++aW/xyrMRxrsD4w8BOdYNg4dOtRwd4a286qrrmr81hpsuBqOEGh5BFC2GjhwoLdMPeyww7wANmnSuGnGffOmm25qeLrgO3VJ4f7777fAfH7rrbcsWqZe6xKWX1jXhnHDbAlx1uHAGAppqdepGQimAhMcRnuUkTQ1u0P+Y9EQOoLRg3eRcJ90ZYzsV+Qx/nnnnZeoYXkX1lW+91epHfIpR2XnnC288MJEFZoUAWgCLKp5H0eMGOE/z1DEVPhN7bHHHqU9O/q+1do+NAICwUcffdQQtPEbrrXNUJ+1gDgCMd4T4oRLLrnEUAJAAHfzzTe3W7Oi6xf0HeUJf/rTn0rl7r77bkPoRnqlwHzAj3K8a7xzxNMC+ZQj37np7yTjz7tORZ8T7zZnB9pVaE4EOJPgKQsvLGmKb8wMTyqNsndnHTPj5n0tYu8uaj9lTJVCEX3xqRnWidBX9L0NafFrtExbW1tV3yiOt6l7ISAEKiNQLzqr3Lmm8qjylVh++eVto4028pU4S3Cm4AYPgb/+9a9tvfXWMwxIovRQNH7HHXcY9ajDmZJP/oR86pEeXRu5rxRY/wO/jbbDmCrVy5KPscmECRMMZek0xbMs7UTLpGEYLaN4AyOgoQkBISAECkJAs5bulgAAEABJREFUAvSCgFQzQqCeCKy11lrtBB+4sYURmbdPGHVRC/TFFlvM+K5e3naavTzuomAw3nXXXfbkk08abn0bzVoHpYlw4AFv3LIHJu7EiRMNxivpjRIYG+7vcf0Mnhyu+A5Wo4xP4xACXQ0BrCZ4FxEc4S653BqH+z0C7mK33XZbSwswWxA8gyVCsGg5GPmk1yOwVwXriCBYoh9cmSJsIg4Dhj2OeFoAg3KuBdPqFZnOnhsEB1j8V1rLmRfrK2NA4atHjx5EjfU1CNNRjuP5+YyUP+RTjmxwoy3iCs2HAPQfLsnZZ6+55hrPKCxyFghp+I3QZvR9476W8Mc//tGOP/54wx31kksuWUtTqXXnmGOOdlalCM/xGIQSTnS9isdR+AuNnn322aU1EC86vDshr9y1qHeye/fuxrod+qrkKYM1BGWcUL5Xr14hqmsTIvD222/bNttsY3vvvbfhVte5dAs6fhv8Pjt7784zZh4J60sRe3dR+yljqhSK6AsFm5VWWqnUVRbFw2gZzobdunUr1VdECAiB+iBQbzor7VxT9GxYc371q1/5ZqMKhpyX2D+uvPLKEr0Tp4u433fffY09hgbgIe66666l8liwk865JJzREMxXMiSh7Mwzz0zVwgNKj5xTsXLnczZFdJCGYRFtqw0hUAkB5QsBIdA4CEiA3jjPQiMRAqkI4J6TEAogqIDwDfdZr+PHjze0R0N5COOgARrSWv3Kd6yw7sbVOi5P8zBxeQYcCjhUpYWxY8fWxToAhioayzyfF154wWAIE2+EwEFl0KBBhgtoXM8fccQRhqCqEcamMQiBrogAVhO4HEQQhjeIZn8f+Sazc85bxUatt1gX+XYfzxglI5hBxLMEhNhYQWQpW2QZBNfBWoP9GCF6ufZRmGK/oQyfxQhCBwQQK664IsmGkD3KZPeJsT/kU45kmGkdPHe6VSgIAQTR1157rd1+++3eE0FBzZaa+d73vmcEEsJvlXgtgU9JYFGLFXhRVkHR8bz00kv+lrY76/MERb2TzjlDGdFPaOofLHunXlL/oxgzadIkn48CAe+3v9GfpkMAxTcE57vttpsdfvjh7ZSnG3Uy1Yy5qL27qP00C7ZF9YVgB4EMfbK/owBDPCmQRxnynHOGQj1xBSEgBOqLQL3prLRzTT1mFeg5FCLDGaLIfjhPhE9TcKbhbJO1ffiQ1M9avlw5zjj33nuvL4JlfVhnfUKNf+qNYY3DU3Uh0KgIaFxCoKUQmKmlZqPJCIEWRQBid6+99irNDg1QBMGlhAwRGPCBqKQ4BCsCdOJdJYDBsGHDvCYtxDqM1maZO8LzoEmLIATX6JXGjhANt/QI3CuVrSWf9nHLShvrr79+XRQIaFtBCAiBygjw3h9yyCGGi/XzzjvP0PRPq8WaiAvoX/7yl0a8UnjmmWcMwTPtweCPlt9ss81IrkuAKYIVNhYbWIGFTlgXo546om6YQ5noFWY0zB3SUC6ICuNJ64jAfr7JJpv4rj766CMLgi+fkPDn6aef9qkwgrbbbjsf5w/3WCkS5zlUmjv5lKP8TjvtZLJiA4msoXHKwdQ99NBD7fLLL7egPJI2Ot7t8MzTyiSlY22EULYoYSzrBm6ocTXNJ12S+gxprF9ff/11uM10ZW3g0xMwpPltO+dK9bB2B4NK4cwzzyzVwaoqlMeydp555inllYsU+U6CU/AwgRU9yptpfUMTYvVFPgK2RRddlKhCkyGAIHqHHXbw3kVQRA0M+6Rp8I7wrrDvht9quSvvYD327mrGzHyK2ruL2k8ZU6VQVF98NgyFbPrD3TAYEk8K5FGGPOoQiCsIASFQPwQ6gs5KO9fUY1bQCLQbVcJlLYGuKLdvkIdicuA/rbnmmoayMumEo48+mmYNnhq0BzfkQzcRTwtTpkwxaEzy8bbD2kq81sBayVkH2hWDjlrbi9ZPwjCar7gQEAKtiIDmJATaIyABens8dCcEGhaBHXfc0fr06ePHB9HKd/FgGvqEDH9gwN14442lklgnVrIsgkFTqhCJ0C+M2UhSU0SxOscKisHCmCIQb4bAd/MQcoWx4r61nOCF3whlOKQsvfTSoVpdrjDmvvjiC992M2HqB6w/QqCFEAjv/euvv26s9z/5yU/Kzu7+++/37pTLFurkTOZ03333eQH/wQcfbCh/RYeEMBprNtJw3ReYMtzHA9/aQ2hNOsyezrJURfAdxsz3lhlPUsAtM58cIW+dddYxGF7EQ2AOQaHg8ccfN7yBhLzoFcWBBx54wCdRPmrd6hP1pykQgH7hMwojR460SgqAeCmiLM/ecs5u3LhxxnuCq05+LzmrtysOIxUFUJR5EKK3y4zdQFtipc7vniwEhMyDK/dpgXeINYJ++vbtm1asQ9KLeidR8OnXr58fMxboH3zwgY8n/eFTRDCtnXPe7TeC/KRySmtcBPiNcy5DaSKL15jhw4fbgw8+2KkTqnXMRe3dRe2nWcAsoi/oMj6vQ3/vvPOOQa8RTwp41kAZkjzc+RclaKI9BSEgBGZEoCPorErnmhlHVX0KvC9oJM5O++23X/UNlanpnLPtt9++5DHllltu8We2tCqMifMY+ShBF6XQO2bMGIM/yWcyoKFov4jAeOuNYRHjVBtCQAgIgXYI6KZwBCRALxxSNSgE6oMAB+5zzz3XAtMdC2SsZLL0BpMDhkxgSsKIh4h2brqVTmgnarmCxXpcGIFQHcFMcM/EPSHU76xrwIX+48yIIFQAhzAfrHWwnKZ8NLz66qsWhMHR9EaIwzwJFiRvvvmmcehgvPGxwYQ+9dRTDQbbcccd590ex8sUeY+QPrT30EMPGf2He64cPJLGSZ6CEBACxSAAQ2bIkCH+vb/iiisMDfxyLfNO8t3UeghTGQsWoVjCc+U+PhbWCYRejKPcHoLyF9/owx1fYDpH20JBiLWRNPqCyUE8KSCMZu+CkbT//vuXmD1JZatNo33W3QMOOMAYT9Lco2PG0iVNOIZyEvhgWYs737g3AVxGY43MWBGQY31BPB7eeOMNQ8BOOuWpR1yheRDgt4AAOosVN1ZFCOMQsoffDO8Y7wbtQAulzRyBNbQmgnOsYJ2bkU6cPHmy8Ru/7LLLZtjvo+0iPN98881t5513NrwnODdjW6E8YzrrrLP898v5fUI38IkC4tC/fHKHNSOUD1f6OPDAAw3vN5Sp9+cqJkyYYKxrBNamMI5wZby8Y9zX8k4654w1irWKNeWuu+6iyRkCmMCsJgOBJBZixBWaBwF++/yeEJSiaBLe2bQZoPjGvtG7d++0IlWns1+xbzEertwnNVbEmKP7IH2xPiX1RVq5vTvaDrhUu5/ynrGudcTezXrIuDmf3nDDDYnCJrAfPXq0z6MsdcBCQQgIgfogAH1UC53FflzEuYbZVaKz+JQfSsNp6x1tEEaNGmXPP/+8oVDJOkJaPQK0BzQIbbNuofhHPCkwbtY+xhNf17Ksw0ltwt8bO3asz0KRsdI+SsFGw5AxKQgBISAEhMA0BBrxrwTojfhUNCYhkIIAzFAIYYTFHKz33HNPQ4hOPKWKweQ4/fTTvbtPyiA85xuUMCS5jwesnLGAIP3hhx82GJMwMrFievTRR23DDTc0hLe9evWiiOHSCBeZEPD05RO/+wPD9ruoReMhLc813na87sILL1wShiDEDdbZuHKCEQRDGc19XEVRF8yYG4eKL7/80hCmc2iCeTXzzDNTxGCUQsjDUEbg7hOr+BPcdIWqYBbiea581/Kkk04qVUFYghcBLK4uuugi45uoKEbglhjrcwToxEsVpkaYN4eWqVH/vxKuFKLON998QzQxYBXp3DTGONq/COXAm98NgjxchnGwCZXR7mYMWE3xuwrpugoBIVA9AjCO+WQDaxbeSnC5lxZwt8fagYY+ofpek2vybiPwPv/88/03O2H4x0tefPHFXujFOBCUJX2WhHV8jz32sL59+xp7H25f4+0452zw4MHG3sZaxXqPUC1ejvUIRTKE0ZdcconBuImXid/DDMOaIZ6edk/5ffbZx1gDmR9MHJ5LvLxzzhBOLrHEEsY6joIAY4+Ww3Ur7ZCO0DRN0QGlArBGkYn9K76mc086+YwNK91oP4o3PgL8nnFNDi1y2GGHWdp7HdKhdaDfWAfC7FCI5B7LHFy/w8DktxXyuWJ1jtAWxiNMYL6XSXo08LvECpPfJvQGFuPxdihPOX5r48ePNz6dAy0Sxpd0ZcwIwAMDFhoh0A28V6xtMGih6egP2mHEiBEGXbThVLr0pptusjS6lvEUEcAfOpF1jcC3jKFn4m3H3klPh0fLZH0nWaNgelMXmo71kHg0cAbg2aL8esEFF5T9ZEe0nuKNgQC/ZZ7tpZde6s8huPdOej9C2txzz22s97inrcfvPcveXdSYnStm73au9v2UNYb9kXWtI/ZuniN9QY9cddVVlrSOkEYeZ35oBOo0xq9WoxACrYdAEXQWawfKfLWea6CfytFZ8FjwELTxxhtbjx49jLUL+i36VFinoQ9QCoIGGzRoUDS78Dh0IzQItAjnjYEDBxrziHeEQm/aupZ1HY63yT2ft+STVxiapJ2XKBdCI2IYxqarEBACQkAINCYCOQTojTkBjap1EUDgSqh1hhCQRbRT6ziKqg9RiCUZjHcspbfYYgtDWz4u4GXeMBph8CFcoH8EEbfeemtZJiPCFAQQlCdcffXV3mUuhDEMG5iVfCuyW7duZPuA8BbGJwSzT5j6B6L5nnvumRqb9h/rAgjjaXfT/6L9Gax4mA/WdtNzp8VgNt5+++3Tbqb+pQzCkKnR0n+YwigYkICAH4E6363ke4J8o2mWWWYxxgzDF4ZFKIfCAOnUR0iDxRBp5DM2DgKLL764gSdpeQNjR7AdrY/3gLiVfJZ2nXMG8xzr8mh5GOUoA8C0xSJsttlmMxiqAY9oWQ6IMMhCGi4go2ML6RxwUCrgnufGISypHPm9e/c2fpfECaeddpoh6MJyCgE6YznxxBPJ8oF8rMRgCAVlBZ+hP0JACFSFAEpRaPGj6ILCDvtBucDa5pxr53Kvqo5TKmEtFgTPjOnZZ5+doWSU+f/88897QRgCZ9YMLLKwKmfPgenDfbR8vDHyEKZh7craiqAQwTVCNtYt9kI8dtAPjBuEYPE24vfUY99CIYE8rqyLxNMCLgnDfkYZ5s7eyH7IfTQgnERIiYLRsccea6eccorB0KEMlohbb721obSG4JB137lpSkrkRwNrLcoFuE9EmW3vvfe2sD9y5Z508hkLa2+0vuKNjQB7NgIzftfQE+Xe65BHuU033dR/lzLMDhou0D64DYbxirAO+g3hM8zO5ZZbztjP+d3z+wx1o9dJkyZZ9DfOOxV+t6Ecv3d+v9BTvAMoDYaxpV1pg/cWxjPtYMkNM3auuebi1geYo8svv7wxD2g63h/oYZjD3PtCdfzDugl2oQtoXoSfCPtDGtci30nWPz7ZBG5hDWNt4hmzViLqO30AABAASURBVMJEX2ihhQy3/igp0H+xQa3VCwGeI2syZxTiH374ofGcywXKIFANiiZFj63S3s04ixxzUXs36xXrQbX7aWfs3dArd9xxh/cSxnrNmRl+BYE4aXyO4brrrqv4yY6ifwdqTwh0JQSKorNYzwJu0EbwzKo511Sis/hcHp/2C339/ve/NwTp++67r3FegjaAljv77LP9OeKggw4qGZmEOvW4QoOwpvXs2dOg/+CrPfbYY16JkHWNNRqFR+gXzq1xPlWedTg+fvYu+IjQtSiJxvPj942KYXycuhcCQkAICIHGQaDrCNAbB3ONJCMCk6Yy6bBqjhePMu7ieUn3MBuSmN5YfcEISKrT6GlLLrmkIRC4/vrrDUEx1nRYJ+CylyvhBz/4gcFohOEIUxKhKQLLSkxG55zh+hOh7Oqrr24w27EMgvmOQBXhOW1DnOLmE6ECzFHiMDqfnyoIQfABExTmf8ASy2TqDBgwwHi2MB4R/DNGnlEoBzMQghvinzSuENhYU3NPYE5ggGU9AhLSOLQg7EfgAnMV4e1uu+1mzBuCnjKEzTbbzLBQR7EA4hlLTBiUHJ5QHABDrLxJZ+4wqfgeKJhSP2vgN4dQGeyiY6c+An4UIGBWY1kY5kBepcCY0CbGNRYKEWDunDOuG2ywgfdIgIIBCgHRtrA24xmiHED/IQ/GLFjyzHkmPD/qUo77UA6hN+U4hPH8QjpXmMUw4BH0YCHBGPntcIjiN9DW1ubdzSPgB3OeB9Zb9M2zog0FISAEqkMAy22EpAiq8rTAugqzOU+drGVhGHXv3t0X54pFhr+J/GH9Yo1g3WL9cs4Z6xprA5ZX7A8IknfccUdj3YhUTYzCPMJtIGv+qquu6r8FjNAQBjRrD+sfAjD2BeeShdE0zFoJEwp8+vfvT5IPKASwN6299tpGPuV8RuQP61/4bnFIpk+YOuE+eoXpzxrJ+omLZpSfnHMGA4g9DDxwa82aGq0Xj7P/QQ+MHTvWoJtQHnPOGVfuSSefcvG6um9cBLDAxrII4XmeUaKYhtt056b/zrHeRtjMe8Dvgvb+9re/eetwmJoI1HnfoAV4b8hPCtCcMGZDHjQVNEC4R5iM1TTM05CW9cqaEO0bgTHvDwJFlPhQFIF+4zfN+4hiCAqOWduvtdxiiy3mrX+j7TC+JBqOd413jneP8YK5c/nfSeecV5KFbmPtYb2EbuIZI7z/3e9+Z3wnGYZ1dFyKf4dAA19QDMaDQ94hIoDgDJG3Xpbya621lrFnU5ZrfO+ux5iL2rtr2U87a+9mjWN9g97hfAy9QiBOGnmU4XkoCAEhUDwCRdJZ0DBFnGsq0VndunUz6B94b/DR4O0hoOYcgTAd/g3nCj6LAT+ueNTSW4ROwhU+OKAICc0CvQJtd8IJJ9jJJ5/s+YDQM/FW8q7DoT6GHvTHPd7IoL+IlwuNjGG5cStPCAgBISAEOg8BCdA7D/tcPXe1wjDxsMiCERefOxa2CPmyCL+xvoJYQ8gbbwdGOxreEJzxvGa4h6GOdTWCWohkGGpRy0O0O7FUhqjEmgiX685NZ6aWm6NzzhBEw9iHSYlbKDRaEfg657x1MQT64YcfbhDH0bZg4kHUI1TnGUUDaQj7EajCmMHyCcFCtAxxGI64/qRdrgiISI8GXGkiSIYAphwBoh3BP88UhiWCBwQS5IXg3LS5cajg98WYcG8LczOUgVlBOnOHIKfdkJf1irIAbos5mEXHHeKMESUImGfROWRp3zlnHIiwpAQHBGdc+T3DzOa3EW+HOd14443GbySMIVxRJsGihGfC80NBIeRFr5TDIoznF28fnMEb3MGN3w7KB0HwxWHmmmuuMTCfNGmSIYhPGme8Xd0LASFQHgGUXZLe6+i7mxRH0Mx7Wb719rl8rgFLUdpjnW+fO/2OMaHsBjOHPYr76bnTYqwNrBGsW6xfYR1jfx8yZIixZ1FmWulsf51zvh77FfsW4wxrLfvVnHPOWbEh1krojKR1kLbw2kE+5eKNOeeM/YTnwVrIPolwsdxaxxyx1kVRi/YZM/sGc2Cdj/eRdu/ctL0NPFmDaYcr9+znzmXb/9PaV3rHI8BvBw8uPMs8gc/SxJVjnJv+biA4pz3eEfZ13EcjKCv3Ow2zZ0x4MmJcuMxEATHkcUX4gxtT2s8boGlpIxp4PxCMQdvg0hQlFpispEfL1RoPVsCMmb6S2oMBDL39j3/8w1D8RNkAxjVzTirvXHHvJBigdMi6whgJuMdHyMa4kvpXWmMjgAVyWPN5nkkhKQ3FjLTfXNqMi9q76zVm56avT6xLzBtsOCdl3buZO+tCNfupc523d3N+wlMcZyPmTSBOGnnMS0EICIH6IABNAz3De5cnJNFZrD9FnGsYUzk6CyRYG1gbOTNxZmC9nDx5ssF7In3++eenWM0B/hhGJmADf46xVWo0igNjoy7nEc6dKDRDNyW14Vz+dZh2oIE469APxjWkZQkdhWGWsaiMEBACQkAIND4CEqA3/jNqhRFmmgMEH1a+aCnijhABXFJFrDBgxsM8WGaZZbzlRbQclhgIeiHwsODC9Vk0P8TRzsTihnawNqb/kNdsV9zRYskcHzeMfJgP8XTdCwEhIASEgBCoJwIwXRAyZxFa13McndE2ykhY1U+YMMFbrHZFDDoDd/XZMQjArMStPMqFznUtxQznnPE+o3w0ceJEQ9ieVwmyY56SehEC1SFQ4N5d3QA6sZb27k4EX10LASFQQqAr01lah0s/A0WEgBAQAkKggRCQAL2BHkZXHwrurvm2IBqKaBBWCmhaYn2Bq9ModtwjNA4aj5XaIR9rHPqPtjM93vgx55wddthhhsu36GhREkDTE83RaLriQkAICAEhIASEQP0QwIKdb/+xNzvXtYSM9UNVLQuBxkAAl/K4bucTE40xIo1CCAiBIhCYvncfZs5p7y4CU7UhBISAEMiDgNbhPGiprBAQAkJACHQEAhKgdwTK6kMIdAACuN4cNmyY4bY92t3rr79uffr0MQjRaLriQkAICAEhIASEQPEIPPHEE8a3EHFFv8ACCxTfgVoUAkKgUxBA6XbUqFGGm1A+Q4QleqcMRJ0KASFQOAIttXcXjo4aFAJCQAjUHwGtw/XHWD0IASEgBIRAfgQkQM+PmWoIgYZFACE63wXnG0MrrbRSaZzvvvuu9e7d23DzzvdrSxlNENEQhYAQEAJCQAg0CwJPPfWUnXzyyTZ69GhbeeWVm2XYGqcQEAIZEOC9HjlypN11110m5ZgMgKmIEGgSBLR3N9aD0miEgBDoeghoHe56z1wzFgJCQAg0CwISoDfLk9I4hUBGBJxz1qtXLxs3bpy9/PLLtt9++xnfEvrmm2/s2GOPNb7Liqv3xx9/3HDxnrFZFasOAdUSAkJACAiBLoQAQvMxY8bYYost1oVmrakKga6BwJZbbmlYoPfo0aNrTFizFAJdBAHt3V3kQXfMNNWLEBACVSCgdbgK0FRFCAgBISAEOgQBCdBrhPmdd96xeeaZJzX8+9//rrEHVRcC1SHgnLOlllrKLrnkEvv44499eOihh+zyyy+3mWee2YYPH25HHXWUHXrooTZp0qTqOlGtFkdA0xMCQkAICAEhIASEgBAQAkJACAgBISAEWh8BzVAICAEhIASEgBAQAo2DwKeffuoNQ8vJX//617/WdcASoNcI7y9+8Qt77733UsMPf/jDGntQdSFQDALdu3e3vn372s4772zDhg2zyy67zIehQ4daW1tbMZ2oFSHQSAhoLEJACAgBISAEhIAQEAJCQAgIASEgBIRA6yOgGQoBISAEhIAQEAIthcCss87qPSiXk7/OO++8dZ2zBOh1hVeNCwEhIASEgBCoDgHVEgJCQAgIASEgBISAEBACQkAICAEhIARaHwHNUAgIASEgBISAEGg8BCRAb7xnohEJASEgBISAEGh2BDR+ISAEhIAQEAJCQAgIASEgBISAEBACQqD1EdAMhYAQEAJCQAi0JAISoLfkY9WkhIAQEAJCQAgIgeoRUE0hIASEgBAQAkJACAgBISAEhIAQEAJCoPUR0AyFgBAQAkJACCQjIAF6Mi5KFQJCQAgIASEgBIRAcyKgUQsBISAEhIAQEAJCQAgIASEgBISAEBACrY+AZigEhIAQEAJ1Q0AC9LpB21wNf/bZZ7bwwgv7cM8999jSSy+t0IEYvPvuux57nsH777/fXD8ejVYICAEhIASEQIEIqCkhIASEgBAQAkJACAgBISAEhIAQEAKNjsA777zj+bmTJ09u9KE27Pg0MCEgBIRAIyMgAXojP50OHNuPf/xjmzhxog8/+tGP7JVXXlHoQAy6devmsecZ9OjRowOfvLoSAkJACAgBISAECkRATQkBISAEhIAQEAJCQAgIASEgBIRAF0DgF7/4hefnzjfffF1gtppiAgJKEgJCoMURkAC9xR+wpicEhIAQEAJCQAgIASEgBLIhoFJCQAgIASEgBISAEBACQkAICAEhIASEQOsjoBkKASFQCQEJ0Csh1EXyceHep08fI3z88cd2+eWXK3QgBv/5z3889uAvF+5d5KXTNIWAEBACQkAICIFiEVBrQkAICAEhIASEgBAQAkJACAiBDkLgz3/+s+fnPvHEEx3Uo7oRAkKghIAiQqADEJAAvQNAboYucOH+6KOPGmGLLbawvffeW6EDMZh//vk99uAvF+7N8MZojEJACAgBISAEhIAQKBYBtSYEhIAQEAJCQAgIASEgBIRA8yCwwgoreH7uKqus0jyD1kiFgBBoCAQ0iOZAQAL05nhOGqUQEAJCQAgIASEgBISAEBACQqBREdC4hIAQEAJCQAgIASEgBISAEBACQkAICIHWR6DLzFAC9C7zqDVRISAEhIAQEAJCQAgIASEgBISAEJgRAaUIASEgBISAEBACQkAICAEhIASEgBAQAq2PQPYZSoCeHSuVFAJCQAgIASEgBISAEBACQkAICAEh0FgIaDRCQAgIASEgBISAEBACQkAICAEhIASEQKEINKQAvdAZqjEhIASEgBAQAkJACAgBISAEhIAQEAJCoCER0KCEgBAQAkJACAgBISAEhIAQEAJCQAg0GgISoBf/RNSiEBACQkAICAEhIASEgBAQAkJACAgBIdD6CGiGQkAICAEhIASEgBAQAkJACAgBIdCCCEiA3oIPtbYpqbYQEAJCQAgIASEgBISAEBACQkAINAsCTzzxhN12223NMlyNs6EQ0GCEgBAQAkJACAgBISAEhIAQEAJCIAkBCdCTUFFa8yLQRUb+7rvv2vHHH2+LLrqofe9737Mf//jH1rt3bzvvvPOMPGB46623bK211rIPPviAW4UMCHzzzTd24okn2rzzzmvOuZrD7bffnqHXbEW+/fZbu/jii2222Waz7bff3j788MNsFVVKCAiBLoXAv//9b7vuuuv8nsDe4JyztrY2O/zww419oVYwENCw7+y+++61NlWx/nPAt8zOAAAQAElEQVTPPWezzz679e3b1z777LOK5cPc1113Xb8vOuds5pln9liACfkVG5la4JNPPrGzzz7bFllkkdI+wL5w0kkn2T//+c+pJer//+uvv7aJEyfapZdeanvttZetuuqqNnr06Fwdv/POO/bRRx/lqqPCjYsAdMC4ceNshx12sLnnntv/NnnHt9lmG3vwwQeN30zW0b/22mvWv39/m2OOOXw7zjlbaaWV7KabbrL//ve/WZvJVK7efbE23H///XbUUUfZVlttZTvuuKNNmTIl09goxLrwl7/8hWiHhLzrGoMaP368XwudS6dNt912W1t22WUprtCECLDvcI7r2bOn37ecc7bMMsvYqaeeWsi+U4+9mzEXsVfyDrJHV713pzxv1swJEyYY7acUKTyZdTjP3g2G0BZReqOtrc3TIOQVPkA1KASEQCoCrBlF0FmhnU033bR0HuHstMEGG+Sm11IHWyGjGlojqUnm8re//c1GjBhhBxxwgK255po2ZMiQpKI+jXWriH3BN1blH+jC9ddf32aZZRb785//XGUrZnnnXnVHqigEhIAQEAINj8BMDT9CDVAITEXg888/t6FDh3qGYR6hJETPiy++aBCvMNGdc17g3KtXL7v55ptzMRutA/5V6oL5XHDBBV4Ycvrpp9sPfvADO//88z2DfYkllrATTjjBfvGLX3iGKEy0119/vXBGaKUxNnP+TDPNZKeccor99a9/tTvuuMMzsMJ8yDvttNNs1KhRqeHYY4+1hRdeOFQp9Irgi7F9+umnNnLkSLvmmmsKbV+NCQEh0PwIPP30016AsvPOOxsMIPZOZvX22297ZgcMWvZSGLyk5w2TJ0+2o48+2lA2yls3b3mYH/SVVRD28MMP+7mjBAWD5x//+IdnfKBUhmAQTNgXn3/++dShsMey9s8///x+njDBQ2GYR6zB7LXPPPNMSC78+t5773llh1lnndXPB+Y/e/tjjz1m/fr1y9QfAsstttjCC1/YOzJVUqGGRgBFCJTnUJa88cYbS0p0vOPQs+uss45tt912FRUmECQdeeSRxu94+PDh9vHHH5fmze8aIezmm29u//rXv0rp1Ubq2Rdr2J133mkrr7yyVyyE/lpttdW88tD1119v3bt3rzhsxnfllVdajx497IwzzqhYvogCedc1+mRduuSSS6zSWtivXz9D8EYdheZBgOcb9p0jjjjCXnjhhdLZ7eWXX/aKvZztEIBTtpqZFb13M44wZvbpWvbKIvbuOCaMDxqI8/56661nld6deP1q7qvZu1F84tx47rnn2jnnnGP/+9//fEBhmjWJPDxLVDMe1RECQiAfAkXRWdF2oFOg0xgJZ6d7773XoNcOOuig0jpPXtGhGlojPoYgCP/Zz35mnIvuu+8+23///b0CwKBBg+LF/ZmrqH1hhsZzJqB8zHhzVisVzzv3UkVFhIAQEAJCoGURkAC9ZR9ta0wMxveBBx7omWMDBw4sMQyzzA4LGpiEyy+/vEG8ck89iNennnrKsNhBC/T9998nuSkCgtNDDjnECy9+85vfeCYLggIEAzBCsYwbPHiwZ4hCrMMY7UAL9KbAMOsgsXjs06dPqfh8881ne+65p//d8NtJCig1vPrqq947QKliQREsz7EUC839/Oc/D1FdhYAQEALGvoa2PYzspZde2q9XCFHRvg/wsP8NnLqXYuUGgzmkZ7myhyJA7ghLTcZ20UUXWVbmB3PvN1V4RD0sUbFC7datm58WjJ9hw4bZWWed5S26ETKiUOAzY3/++Mc/2pZbbmkw3e+++25DaD5p0iRflzWY4gjmsXCFPuG+qMCezf7O2o5lB1bn0Cc8K4RizrmKXSEsZ34IRxG2IGSsWEkFGh4BhNk8VxT4sDwnvttuu9kCCyzQbuz8fsmjfLuM7254hw899FCvkHrwwQfbSy+95H/jKJXsuuuu35Uyu+eee7wSB8KcUmLOSD37QuC2+OKLe+VYGNW88wjLWO/Ce19uuIzt2muv9fjxnsEoLVe+qDzWpzzrWuiXNZ1nizcOmNhJYamllrJ99tnHexMI9XRtDgR4tvx2EXigEMJzRMDy/e9/vzSBL774wu9NlC0lZozwey9672YcReyVRe3dAQreMRTn8diCshFKhSGvXtdq927mvvXWW3ulJ5R+wBMLVcJGG23klaVZ3zbeeGNP39Vr/AW0qyaEQNMjAN0E/VQrnRXaGTNmjMEXQgmWs8QjjzxiKPMEoFCKg9YP90VeWQeroTX+n717gZ7tqusDvjcJJrGQJhRKKAsaLPWxWuVlH77wQllKBVsoKohYwKL4wgJaoZTWQbS+CvjCByqmUAFBlyKIglJCUbRdLHyUlgUFVBBDiIUsikAgyW2+8+f87/nPnZn/vB97Plk5d86cxz57f878zzmzf3vv6fKQe0Ya9Nz+9rcfNib+wi/8wpLvTf/5P//nYcPeXKO6bfuvq7ov9NNcZD7X1nR6WWTfRcu+yLHsQ4AAAQL7JSCAvl/n6yBym4e+VIQlEJAW93kATKX/PIXPw08C76l4nrbfa1/72vKoRz1qJT1tph1nFeve//73D4fxi08C/wmCjD7AXnLJJcNe6AkU5Jgf//jHNzpsXY656JTeEekxv+j+q94vQacM2TtvuqnwSqB9kX2nHStfYvKlLpXeGWI1vcSmbW8dgQMVOMhip/FUejOkh3kqazLc78/93M8Nh/xOZU6CRZ/6qZ96bJOeTenZdrxghpkEZJPmDJsuvUkqvZPHWRJK0CFDN6eH2Td8wzeM7YFZax0Og36ve92r5D7z8z//8+clnYB4hlH9mZ/5mZKKrwc+8IHlTne60zDIlvQzBGB+NiU7vuMd7yivetWrMruSKQ2vPvdzP3c4okyCY6n8yegyXdD+tIPk/plnnvRezCglp21v/f4I5JkvvRPTCzGVk6mITQ/0VGSmcUf+ju95z3seFyjPtZNGqMkITm94wxuGjS/TqCTDQ+cznoamSe8lL3lJyWg7SexXfuVXhn8rmV9kWsex8myfStE0cExQ+UlPetKwEcD973//mQLHaVCS56j0sE8vsNFn6EXKOc8+81zX+ulm2NQ8k6Zncn6WYdyUz0HOY38/87svkHtJnuvTACw9mPP993nPe15Jo5Dcu3Mf7P4m8104P981b8PoVd+7V3WvXNW9uzvL//t//+/yyEc+cmOjSeS4i967850+3xXz3JKgXYLkSa8/3e9+9xuOKpJtsm326a83T4DAagRW+ZyVwHjq3zISVEbGyfeGPGelU0Ya5qYDTJfrF7zgBSWNcrv3q3pd9Fkjx0/D3TTgyfee1Gm9/OUvH47amY4kWT9pWtV9YVL6MywfbpL7Ztxz3RwumOOfRcs+xyFsSoAAAQJ7LCCAvscnr7Wsp2IslXd50Eyr8Vl7no1zSMVgKsHHrRtdlsrGtPweXb5r79OiPpUDydd973vfkmB55kenWmtJpWJ6MKT3UHqhj26za+9z7jNE7SZ6Nm6i7FdeeWXJ70OlonuVx0sPo3y202Nh0xW/qyyHtAgQmCSw2PLcL3OtT3Ao99B+KrlWpFI5Q4V2QfRULKQhTn+7afPpeZAebBmyr0tj2vbLrEvlx7/7d/9u2LhtloZIqaRKZVGOmWtkXsdNGcHjsz7rs4arsv3HPvax4Xz3T4Lq6dX76Ec/emwwLo0T0kO82z5pdPPLvL7xjW8s6S2X+1/OXc5ThpyfJ830uv3hH/7hYSXXi170opJg/Dz723Z3Bf70T/90OCx5hhrveij2c5vP/NVXX11SOdstT8A1f0fd+7zmfRrAJFDe/R1keTfVWksCy10PqfR8zLG79fO8ruNYGW49Q4fmWTF5SSV0ekhNehbONqNTApAJSqUSOw5pmDC6zbrex2Se61qXj1RKpwHU4x73uOEQqt1yr20I5G8195b8fWd0iX6p8tl+6lOfOvz7r7UOV+U+8brXvW44P8s/67h3r+peuap7d+fwN/7G3xj+Rm++0+dvJj/N0K1bx+sy9+6MKJdGL7XWkmeOCy+88LwsZlnW1VpLts0+521kAQECSwvkWSfPzrkOL/OclVGgUq+YRozjrj/5PpbGMBklKpnO/T0/G5j5VU2LPmvk+GnQlTrGlOGyyy4bjgKW58Jaj+4/2WbStKr7wqT0Z1mehhAZur3WWh70oAfNssvxNsuU/TiRpWbsTIAAAQK7LiCAvutn6IDy9/rXv77ky2h6rSSgmgexRYqfL5nf//3fX9J7PWnk4TSBzPxGZH5LbFyaCdynJfy4dbuyLL1t8mA4S37SYjQtR9PiNb3tZtlnm9ukUjdD0G8zD6s8dq11GPzJZ3CV6UqLAAECowIJBKey+Nu//dtLGu+Mru/eZ2jYxz72sd3bkl7qaWR1vGDCTO7Hg8FgOKx5hkafsNnR4iX/zT0uo87kNT2qU9l0WpK5v2d422yX+byOm2qtJRXSWZchV/tlT4VTAnT5SZRaJ1cUZWj3BDWSxiqm9DRPJU8aNKSyqgumzJt2RijJfT/75TW9VTNv2n+B9JROkDyVmJNK89f/+l8v6XFT69FnN0GzjErR3z49JR/84AeXXAf6y/vz+Wyn8rS/bJH5VR8r16AMPZ9nxeQnDUQz2sIs14ds303528jfSvd+1hEeuu0Xfc31bN7rWnes9P7KfBpB5dXUjkB6HqZ3eBqF5G94Usnyt59R2br1+emFbn7aa/5uVn3vXuW9MvfrZe/d/fLn51q6a0KuZZ/yKZ/SX73S+WXu3WnsmAY8yVB+siUjgWR+3JR12SbrfvInf3ItvVWTtonAIQus6jkrP4eT0cBGf16nb5uGUve+9737i1Y2v8yzRp4bMxJG6g0z6snP/uzPDhv3zpK5Vd4XZjnepG1yXU4APUPnp0HVpO1Gly9T9tG0Dva9ghMgQOAABATQD+Ak70sRH/CAB5T0rk3PmFRypxJvXOvNaeXJg2N6nieNDIP3mMc8pmTIoQSSU/GfIVjzu3KjaaQV/K4PjZYK9i7f+R2lVPZ378e9prFAypzgyrj1u7IsD7v/9t/+213JzsrykeGvMq0sQQkRIEBgjEAqoXOdT6+JMauPF9VaS78SPpX32e94gwkzGTY6va3Te3KdFdI5fO4HqbRJ79JpAYVs2015XujmM+z0pHtjhjZ/17veNdw0Pf5uc5vbDOfzT46VoXL7y7J8dEqlUq1HQcr73e9+o6vnep9h19O7rLu3Z2jeacHNuRK3cRMCaeSR3uVpTJKA0LRCffZnf/aw4Wi2+dCHPlQSpMl8N2Vkp/Tg7t5Peu0CUHn+/ozP+IxJm01dvupj5btBnu1z0PTc+g//4T+UBMPzfh+mRa5rKVe+l2Q42PSMSoPMBNNyHU4DhQxHn21M+yuQ3uRp9Jbfl51Wivzt9+83uXdM275bt4579yrvlau4d3dl3eRr/Je5d6cuIlPynOvZ5ZdfntmxU9Zlm6zM330CdJk3ESCw57QfhAAAEABJREFUGoFVPmfle1gaPE3LWa3nGvPmGSv39mnbz7Nu0WeNdCJKw8QEz3O8/BzWP//n/zyzM02rvC/MdMAxGyWI/5SnPKU8/vGPL/OM4rVs2cdkxaI9FJBlAgQIzCIggD6Lkm22IpAKg3kr6zMEU4Y/zbCOqfwbzXge8J75zGeW0XTHVTaO7rvt92kI0OUhv8+anjhpMNAtG32ttQ6DJd3D8Oj6XXj/pje9aTjEUhdA2IU8yQMBAgT2SSA9l3/gB36gpPfVafnOkOjdEOzppdyvwB63bwI36dn6jGc8o0zrUTFu33mXpcdsepnOW/mRAESGZ8/xcm/Mb4ePuzem4jmVSwmCP/zhD8/mc08JeKTH3N/7e3+vdENdz53ILTskf+klkfRueTus7EmDv8wvMdm1QYEnPvGJw5+EOa1oeb7N30K2y5D+3d953s86pSI5jWWyff5G7na3u2V2LdOsx8o16FnPetZxHhJA7j8PH6/Y0ZlFr2spTr7PZFStzGfKfBoXZUSCNAzOtW5Sg6Fsb9ptgfx9padcvu+eltOc826b/K1385Ne83ezqXv3uDzk3nbavTLXq03du8flcZFlq7h3Zwj+pJPjxyDPYpkfN2Vdtsm67JN9M28iQGB1Apt8zkrjxu4nGf/Vv/pXJY1kVlGSZZ41fvVXf3U4XHvykWeLjGh22vfDbDvvNMt9Yd40s32ujflJnuQ53yFrPWronHWnTZsq+2n5sJ7AEgJ2JUBgQwIC6BuCdpjNCKQS4nnPe97UISrTg2O0l1d63OShazO5XOwoaYHerxBNoCFDwOWhcVKKaQWbYewnrc/y9GL59V//9ZIeEHGotQ4bGGSoz+4BP9t1UxopfOM3fmNJBU6tdfhbsbUevWafBCkSEM82aahQ69G6e93rXiVB/y6dBA/yu6/pBdktS35rPdo+wZprrrmmWzV8TVnTaj9pJ4CRSoWY5Hdjv+u7vqukIcRwwy39ky9FX/EVX1FG893PTio7X/CCF5R8Dms9Kmt6Pablb3o19LcdnU/5c05S/gzlN7q+e3/ttdeWH/zBHywZgSAta3PMNCqJVc5xhotM5XW3fV5jl/OTc5IRHFKplemBD3xgyYgHOXa2MxEgsFsC+TtdZDjAjFKSQNuk0mT411TAZ9SWXJsnbbeK5bm+5De8cy2ct/Ij98av/dqvPc5GRjQZvTemZ0IaAXz84x8v6WmeEW+Od5hxJtfS9IK9y13uMvyd1QzDOOOu522WQNiP//iPHy/Pb6/PM9zg8Y5NzSjMqECeSxf52YA0IL3DHe4wmtyp7//oj/6o/MZv/EbJc0z+Xmqtp+6z6AazHKu7LnTPVPlbX6bhyqJ5XXS/Lv+LXNfyMxMZjWPSsa+77rrybd/2bSUjD+S5e9J2lu+uQBq05Xl73hzm+8+0fTZ57x6Xj1nvlfl73sS9e1weF1227L07o/70/17z/fW0vPS3yb5J47R9rCdAYDaBTT9npRHMm9/85pIgdQLos+Vy+lbLPGukzigNubojpO4o3w+796t6nfW+sMjxfud3fqfke18aGKZ+ctY0NlX2WfNjOwKHKaDUBPZH4Fb7k1U5JXC6QCoNM3RkrZMr/W5729uWT/u0TzuRWCrEU5FxYuGOvbnHPe5R+kGMm2++uTz2sY8t6bWW4Oci2X3f+95XvvRLv7Tkd1+/6qu+qvziL/5iSU+fNERIUD0Vc6nkz4N5l/6VV15ZMqTkH//xH5f+l/ov/uIvLi95yUvKPe95z3LZZZeVBHi/8iu/sqS3X4L4+bLQ/6KQIEmCGQkcdGnntwBzrEz5PaK0gu3WpTLx677u60rOb4ZmyvETzE+L2xz7u7/7u8vnfu7nluzX7bPp13i++93vnnjYDL+XQNdznvOc8qQnPam87GUvG/5uaRxSUZqhvOI+mkAe8BMQTw/TVJyl8cHoOU+AKL+fm4YK+TvIMFYf+MAHyg033FDS2OI7v/M7SwLp+dzktzj7IxOkl1O+LOXLx0tf+tKSfGbfV77ylSU/hRDfBOBzXkbz5j0BAvsjkOHe0yus1lryW3fTcp4GNaks3sRwyb/9279dcg3MdWaeyo/kv9Za0ijo8z7v8/K25BqXe2N3zct1+WEPe9iwIdCP/MiPDCutap38jDBMZOSfBCTSuyENj9KgKPe5kU3mevtLv/RLJQ3NslMaQKSRQo6Ra3HyneET0ygso7RkebYz7bjAlrOXnyj4kz/5k2Eu7ne/+5V5G2Tk7+Q7vuM7hs+DaeQ379/h8MAz/jPrsfKMl95BXbIJnuc56D3veU/Jc1D+TvL8mmefPCd12+3K6zLXtfQ8zf55PvyzP/uz8sIXvnA4qlSeqfvle+c73zkcDSPXiv5y820JpPFsSpTvV1/wBV+Q2YnTJu/do5nI/WrWe2Wt6793j+Zv2ffL3rsTRMp1rctHzmc3P+m1v032TRqTtrWcAIH1CSz7nJX6lTROTD1QRg5b1U/R5Flh0e9QCeinZ3jUaq3lIQ95yPB7VDqs5HtInrPyvSTHWLTxzjz3heRjnik/dfOt3/qtw7qu0Q5Sp6WzibKflgfrCRDYcwHZPyiBWx1UaRWWwC0CCQKmEvyW2eP/88A1b2Xj8c4bmkkL2e///u8/EbTOoVPRmQYAL37xi0t6k2fZLFMCro961KOGmyYYnZ4s6XX05Cc/ubzxjW8st7/97YcP0Am+5qF5uGHvn/QQTyVNeplncYb9fNvb3pbZ4ZRKvTyYfs/3fE/Jb8XVOl/AYpjIJ//JOUvZr7rqqmEAPcH+9KTO6gT7M6RnGkAkKPzUpz61jJ7fbLfuKXlMRe+kStxUgOb3pL7oi76oZBjhNCaId1r9JmieStEEth7zmMeUBK26/KayJC1q3/KWt5Q0IuiWj77mi04+I/1eZwkkJWCUtNM4Ip+T7BezrudphnnM5yAjATzxiU8s/aFR0xs95z/7JED1+7//+5k1ESCwpwLd33DueV3AeVxRcg3KdSe9tfvXhHHbLrsslR8J3GVKA6BF0sv9O/fANDDq9k8lfnq4pYdfrp3puZX7XHfv6LY77TX5+5qv+ZqSSq80BEvDpzRGOm2/SeszUkmu+d36NOjLb9XmnptAehoRpKd7GoWlsVjubWnMlHtMt49XAqMCeeZKA5k8k+XzWutsz1z5XOW6kFGIrr766pLP2u/93u+VLB89xrLvk+Y8x8qz6Hvf+97jw2bUhy/5ki8pd73rXUtG4snfSRprphdrGg5+9Vd/dUnjv+MdtjiT60auaZkWva4l+6lgT3nznJafqEjjyYzWcemll2b1cMrzWxoSpEHpcIF/mhLId5p8x0qhMipU7muZHzdt8t49evx85nPtmedeuc5792j+ln2/int3AlD5/t3l5W/9rb/VzU587W+TfZPGxI2tIEBgbQKLPmelfi51ROkEkjq3fF/p15ktk+Fcd/OckWneZ43cW9IoqDt+rjUZHSjfS9IpJd9D8pyV7yVpwJgGv+lYk/J0+5z2mvzNe184Lc1ufZ4p8101DSvTMadbPsvrJso+Sz5sQ4AAgW0KOPZ8AgLo83nZugGB9Pp6+9vfflySVDamZ3Ots1U2Hu+4hZkErV/zmtcMe1r3D58KtUc+8pElPZjTgy0PlP31o/NZn1alb3jDG8ozn/nM4XDs/W3yW3v5/cssSxA2vdLHBQxS4fpN3/RN2awk+JvWtGllmimB4bvf/e7D3ky1LmebSsEEGHKgVI6mV3XmuylB4xwr7xOczvaZX+UU41Qs54vG6JSGBPe///2HvcnHHTN2aR0bowwvnArR/nZxzBeTLEtFaCqEc47y/sorrywJgqehRILuWTZuyvEf8YhHlPQWTSA922RIq3xxye9kptFBgvAJKv3yL/9ySbrZ5rWvfe3xkPMZEjTL+tN97nOf4dv0gkql+vCNfwgQ2DuBVP7m/pGM53o0qYdpejdlhIwHPehBp/ZST1rLTKnAyL1okcqP0ePm/vibv/mbJ+6PGREk9/yUpT9iyui+o+9z/U3jpW/5lm8pGQklQfNsk2t5emIksJ1GUVk275Q89SvOUlmVyqj0TMn9NlOCIN2IM7kuf/mXf3l59rOfvZag5rz5t/1uCmTo9fw9paFeKj5Py2We0373d3+3pKFcGtOkYjj7pCdSGnIkIJttsmzZKekscqw0wuwfO6MUpTFf/g7zN5prVXpdXXrppcPNMgrSfe97362ORJSM5Dys6rqW9PpTeqanYWNGG8hQq926BFhTKd+999qOQO4Z+fvJ99X8XXbP+KMlzN/Dpu7d3bHzd7jsvXKV9+4uX+t4zXlY9t6dRtZ5Fls0f9k3aSy6v/0IEFhcYN7nrDR2Sf1VfrbvoQ996PFPDaYhYRr8pn4t19BFc7Tss0bqy/7gD/7g+PBpsJiOFalLTNrJW657abCYjfLs9YQnPKHkO2Se67Js3JT9lr0vjEt3dNkrXvGK4eiZqX/MT+WMrp/2fl1ln3ZM6wgQIEBgpQIbT0wAfePkDrhtgVQOpvVnl48EntMitHu/668JfF599dUlD7CjeU0FaCo+U7mWHnej67v3qZzPcN2f8zmfU8b1ZKi1DoeK7LZPoL0bPrBbltdaa0mL1y6NBGbz5SK9nTOfFquTgjTZf9YpAecMvZ/t85r3mR83JViSIPu4dcssS7oZxirD0o9Oj3vc40rOyaT0X//615f0OMznrOsF3t82PcIz5Gq3LIH69CTr3nev6YnYzU96TVqpZMv6tCTOUO6dV3os5Te38puqtR41auifn/589h+d8mVodJn3BAjsh0CCURmpIo11MkTfpFxnaORUomRkj0kV9ZP2nXf5q171qpJeGYtUfow7VnrLZzjn0Wtlgm6516f31rj9RpdliOk0PEoFUXp+5lra3yb30DRomjW9/r6pjMowkFlWax0OzZyGTzlGrbXUWksasaWhVkYFyXaZMprLH/7hH2bWROCEQIY0z8+vZKjfcY30Tmz8yTdpEJfnwPxUT4Lu3XPCJ1cPf6onw4ymIrRbtujrIsdKMDAVud0xM3rPb/3Wb5W8diPoJJicv8Nc29LQJdvmbzMjFqXyN++3Mc1/XZs/l+kJ9vznP7/kmb/bO9eMuHXvvbYhkAZcuSelsXcau0wq1Sbv3V0ekq9V3CtXde/u8rWOV/fudahKk8B+CCzynJXvN2nYm+eW1PNkRMB+adMgNwH2/rJ55pd91vjzP//zkmt4d8z05s7P/OVn/brRulJvlWU//MM/PPx+km2f97znldT3ZX7clDRXcV8Yl3a3LHnP827qIefteZ80sn/ymflMqyp70jIRIECAQJsCqw2gt2mkVA0JpCIwwd30pk2x0iNtMBiU0YrDrNvlKZWGP/qjP1rSGKDrpdbPbx5az5w5U/Jw2F/ezSeYm4BwKukvv/zybvGJ1/QISLA6C9NzOsfK/OiUSo8Y1lqHQ74nSJFKnjzUZpjg0e0XeZ/AbmhoPGAAABAASURBVHpg/5t/829KXvN+Ujpp7Zv8Tlq/6PIMoZmgdj5Do1M+TwmgZ8ir0fSzbT5zeU2vxUkBqTRm6PZN8Cq9i7r3i76mV35650/b/2EPe1jJF6FMmZ+27SLBomnpWUeAwGYEElTJPSPXzmnB6ozgkVEqUlGSa/s6c5ce3Gngk56ai1R+jMtbemGmgUB+Izb3pX5lVYJL6cndrzAZl0aWJRiXniG5LibImHtpRutIRVLWZ8r7aRVI2WbclPtIt/xud7tbyb26e99/zXPJ05/+9JL7Rpbnnv3zP//zmTUROCHwohe9qCTYnM/LrH9L6amdz3emVPLm/p6fbOj/zeSa8ad/+qcnjrXIm0WOlWe5jL7QHS+NfnL96t73X+9973uXH/zBHzxelMYE+Umf4wUbnFnHdW1S9uORa3UaTmSbfAZyncj8RicHW5tAgjYZZSENlac1atvkvbtf2FXdK1d17+7nbdXz7t2rFpUegf0RWOQ56xGPeMRxHUt6dWcEiW7kxpQ8I06ls0mev/J+nmkVzxrJT3qV57ip8/uyL/uy4yB5lnVTrXU4omR+ejDLku802MpzWt6PTqu6L4ym271P4+YML596t4zK0i2f53VdZZ8nD7YlQIAAgf0SEEDvnS+z7QukF/Uv/MIvDAuaCqf0VEugeLhgD//JkO2p+ExFflqL9ovwpje9qWTY7gxR1F+eh93/9t/+23BRgtG11uHDcq0nX+95z3uWrpdcNs6Del7HTRlGsnuoTs/3DB+a4Z5qreM2X2jZp3/6pw8rSPPaJZCgdM5phtlNL/lu+aZfE+j44i/+4vLc5z63dL2/uzzEPxVbef/Upz51rHWt9cRQyek5laHXs8+6p+T967/+60umzHfHy3m86qqrSoaD7JZ5JUBgPwVS0ZEhYFMRPynAlgqcpz3taSU/3/GABzxgrQVN5Uf3Mx+PfvSjV3Ks9OJI4PyBD3xgyb09gfkMk9i/N+Y+kR7lKes8B621lvxMRvZPw7tu3wTlc73u3s/y2g9wJSCfBnGT9svvw/YbNqUnbyp9Jm1v+eEJZPjN9LjOPfzbvu3bFgbI6DV5RknwuQuipzFffod84UQn7DjLsXKNSMOfLon+3123rP+a3l3d83xGIXrzm9/cX72R+eR51de10zKeYWAf8pCHDDfLtcHwzkOKuf7Z1Y1zb0mvuPy0UxpyTWrUlvvZpu7dp1nVOv+9cp337tPyO8/6Vdy7M9LM7W9/+3kOe2LbNHrPT96cWOgNAQJrFVjVc1ZGAkxdURoydxnOyGD/83/+z+7tTK+retZI8Dx1aTlori1/82/+zcyOnVJHlO9P3co8Y/UbFXXLx73WOv99YVw63bL8nE969ufZN8+T3fJ5XjdV9nnyZFsCBAgQ2G0BAfTdPj/z5M62pwjkYfMZz3hGSUVEgufphb2qHtKnHHqtq2s9eihNkDaB7P7BUtmeHkmphOmWp6Kl602eB888OM8ypXKmS2P0NQ/VCVZ0lQJ/9Ed/VN7+9rePbray9zmX+a3LDD2aLyFpfZrAyaQDpNLjmmuuKdOmNCyYtP+sy/MbV2l1298+FdDpQZJleeCfxTrbjJ7L7L+JKT3fMyRqhnnP8Z75zGfmxUSAwJ4K5N6QoE6mSdeVXHMSZE+Pz1zra11d46dxbLkWLlv50U83PxmSn9ZIAC3DteeelPXpvZ3y98udBmfpZZ8yZ5t5pqSf+2atRz5pWNZvaDZPWrNum3tbN3JJesInSDbrvrZrWyDPcxmZ5z73uU9JL6buc79MqTOc+2Mf+9jjJNJI8fjNimdWeawEldJ4s8viOvPdHWP0ddXXtdH0x72vtZb8PNC4dZbtt8DLX/7y4ahbafg26fvq2bNnyybv3bOKznqv3NS9e9Z8r3K7cffu/PxEP0j1oQ996NRD9rfJqBNJ49SdbECAwEoEVv2cVetRb+50vEgGU0eX7xKZn3XaxrNG8pZ6riuuuCKzw/rUWQPowx1u+WfW+8Itm078P1ap28x31TQgnLjhilcsW/YVZ0dyBAgQILAFAQH0LaA75DiB9S/LMNr5HbnLLrusJHj++Z//+es/6AaPkN9DTFD527/9208cNcu6gHlWJPh8ww03ZLYkuDucWcE/eSjuHmQzhHqCGP3eQys4RLnpppvKi1/84pLKh/Sif/3rX1/SKyPH7XpMjTvOv/7X/7qk1f+06bd+67fG7TrXsjQgSG/KfmvYDO+eL0dJaN4vGtlnU1MCMwky3e9+9ysZciyNIB7zmMeU29zmNpvKguMQILBigQxX/sQnPrGkZ2pGk6j1KPA7epj0JMjwzQ9+8INLrq3pWT1u+u3f/u2Sa1r2T2Ob/jaz3k/SoCg9XTPU+lvf+tbST6M//8pXvrJ0FccpR0Zb6dZnv+QhU0brSAOuDCn4uMc9rqRXd5Z3U3dvTA/dblmGQl90aOpcIxOwTFo59ryNr/LTKdl31in3rdxbsn08BNAjYcqzXBqC5O8xIy4ksLIKlTTWyL0/r0kvzwZ5XceUY0w6VoYTzU8czHrcpJVRmbrt15nv7hj911Vf1/ppnzafa0S2Se+29CLLvGm/Bf7X//pfJT+Fld6KeTafVJpN3rsn5WHS8tPulbl/ftd3fdfw5782ce8uS/63int3rmv5vtxlZZbrVH+bK6+80veyDs8rgTULrOs5K3Ur/e8k/b/x04q0ymeNPDt86qd+6mmHPF6f54tuJJTUbS3yfeS0+8LxwcbM5Jjp2JHGonnm7b4TjnvNd9QkkWfkfHfttrn66qtL0tlG2ZMfEwECBAjsr4AA+hLnLpW1+fKXgOykKcPD5OFricPYdQUC6YH2hCc8oaQSOoHSlQfPV5DHaUn8xm/8Rsnvw03bJuvyQJkHywRB8j5Tel/3e4Ont1w+l1n3zne+s8xb+Z/9xk2pwE0eU4mZ9XFOwCPzq5gyJGd+mynDRz3nOc8ZDpee4W1Xkfaq0kivgPTezvWgSzMtlzvjVIh1y3flNb0w07AkvyOV0Rky5HECWxdccMGuZFE+CBBYQCDXnlwv02o+v52a+8OkZNK4J/eKDBebntyTpgS+U/GQdDKceX+7VORn+WlTnptyvOc///mlv//o/Dd8wzeU5Cnpve1tbytf+7Vfe7x9el9keaYMf5hra621dIHtLO9PKXt66H7RF33RcHGC/RmScfhmzn8uu+yy0v2USBpz5bo/TxLpvdE1skpFWH4uY9r+2Xb0p0GmbW9d+wK5b+c5KBWCL3zhC0s+U6ssdYI06dGdNLvK0syvY5p0rPy0wZ3vfOfjQ/6f//N/jucnzSSAPGndupev+rq2SH7TWGibBovk2T7nC6SHXX4WK0HlNMqtdXzDt+yZe2nuk5u4d+d480yn3Ss3fe+eJ+/jts11NvfjrDu+d+fNhCnbjt678x05I+N0u+RZpJuf9NrfJj+vdvHFF0/a1HICBFYksO7nrHyPyDUi2Z3nOWuVzxp5zktQPHlIMDxpZ37SlO9SeTabtH6W5afdF6alkfq0d7zjHSVD3j/ykY88/k44+v0x7/MdNWnlO2u+u2ZZpsFgMKz73EbZkx8TAQIECCwmkE6gaYCW+8i4Kd+BM5rmYqnPtpcA+mxOY7dKj9e0JM4X10lTtsnDxtgELNyIQIIIGeYn5ypB3f4Qj/0MJPib3sz9Zbsyn4B3enTn9bQ85WG836o12/crHnOxyYUny9PLOMOaZ36ZKcGL9ADMMII/9mM/dpxUli3ay+84kVtm0pM9vaJf85rXlAwtmqBQrZMrlG7Z5cT/Oa/5IjRt+vIv//IT+6zqTb6Y5JwkvTTkyOcx87syveIVrxj2OM91KhXyqSDalbzJBwECiwmk4V6Gdk5w6kd+5EdK/r4XS2n39/rjP/7jYSZznc31dvhmzD/prfD4xz/+eE3/vni8cIaZWmtJJXg2TU+yPFtkftYpvR4SeM/2echP7/rMzzKlEWD2n2Vb27QrkN8M/oVf+IWS+3c+g6suaRrQZUq68/a6zD7zTDlOpuzTP1attXzO53xOFg+neYdk76c1TKDhf1KZnOJlmO9da1iafJlmF8h3hATO/+W//JclI4rVOvt3ndmPspkta51+r9z0vXvZUufeu4p7d39o99MasidglG2S91prSe/NzK9qkg4BAuMF1v2clTriWo+uket4jhtfqpNLUyd497vffbgwHWzSIGv4ZoZ/0nM918QZNj2xSa1HZc7ClHve71DZbxXTNsq+inxLgwABAocqcNFFF5XEhSbFXjNSYxqTr9NHAH1J3VTYTksiJ3naeuvWK9AFETKMz6tf/eqSltvjjpjWic9+9rOHLRLHrd/2snxhf+Mb31h+53d+Z6aspNdOHmy7jfstWxM8v+td7zpclVbtGc5++GbKP3H8zu/8zpKA++hmCeqnZWcq7h72sIeVBLfTgznbvetd7yr5jfL45v2i03/9r/+1pPFD9k8v9C54kfellJ1+6bdwTQD9937v907NbyrQvumbvmmlQ+yPO2huQPncZzSNe9/73se9KsdtaxkBAvshkOt1hmzPfe9Zz3pWmfackkZFGd4uDYgyf9r0pje9qXT3llTw97dPGrMIpZd4el339x03n4qc7l6V3wpM5U633VOe8pRZDnXeNp/5mZ95nP9FGxWkQjujdSTx3OvmvR+lwqmrBE+Z/uzP/ixJTZzyJSHX6myQ0QSmNRLINqa2BVKpm5+l+Zmf+ZnSVXxOKnH+tvM3M2n9pOXdZy5fQvNsMGm7VSyfdqwHPOABx3+v6XXU/R1MOm6eabOu1jpxNIqsX8e0retansHzsxupjE+PrFr3N+C6jvOyT2nm2T+NhfPTBd/xHd9RuoYl48qQn7TKvT733fyNnzat4t49Lh/Tli17r+ynvYp7dz+9ReZXde/+7M/+7OPrU35iLed9Un6yLttkfa4xmTJvGgr4h8BaBDbxnJUe37l/pyd6rm+zFiTXgFV9h0qd4D/9p//0+NBdo6bjBSMzuaan4W8Wp4F2AuCZn2dKGot+h0p+MwT7afe7rM931OQr31lz/8uyTNk/6WTadNmTHxMBAgQIrE9g2nenVRxVAH0VitLYSYFULOT34zKET4Lnn/VZnzU2n9kuv4eaQHJ+S3vsRltemB4lqezP8Oz5Mn1advJAnorTbHfZZZeVe9zjHpkdTmnpea973Ws4n3/S63haL/E8bGabVHKO80nv7vwW+dOf/vRhoCYPpMlnHliT/vOe97zyute9LrMLT/ntom7nOHTz+/CaHoOdfywzzOLJc3iyFPk8dj1H0xDi5NrVvssQhF3PpdxsalXxulphqRHYrECuMblep3f1L/7iL5b0up6Wg1xbcw2fts2ur+t6qX7kIx8pXUXzaXmu9WTv1tO276/PdTMj1uR++NCHPrS/aqb5Wmt5+MMfXmo9ut7+yq/8Ssl5m7Tz//2//7ekRW3Wp7LH8K2ROMwpjfDSYPGlL30l9ddvAAAQAElEQVRpSaPFaQoZijPbprJy2nbj1v33//7fS342Jz+bME/F7ri0Tls27VjpRd797EL+5vJTDpPSS0PNNLrJ+s/4jM8oCVJlfl+nPAvmHOZ1WhnSsDYNTPPzQWfOnJm2qXU7LJDznGf/PPfPMmrMVVddVdK4eIeLVE67V2763r2sVa2ruXfnuSyNzZOfd7/73SXPa5kfN+U7WhpDZl2G89eALhKtTMqxiwKbeM7KM3/u23l9whOeUFJXtC2LBz3oQSV1hTl+fjJyWkPFfBfJs2G2TUPg1E9mfp7ptPvCPGktu+2my75sfu1PgAABAtsVEEDfrr+jr0kgD6QJIqT33bXXXlvuf//7l/RkG53SMzuV0fmt1fxmQlpTrilLSyWbXkB5uE1jgFSwpKJlUoIpexoMpDIx26SHXCoTM99N+RLeBbjTSzyV8m9961u71cevCcQnGJ6KmvyG7mhPu/QI+u7v/u6S3lD9ytzMd8PIp3dz9k0Q4Djh3kwqErq3o5UIXRn6AeeULWXs9slrhsDt/857lu3KlM9XKjZrPQqW5Bymp37yPJrHfDHJ0I2pLPnGb/zG0dUrf5+AU1e5ntEFRhtSxDlfJKce2EoCBHZCIH+vGVEi1+uf+7mfK7lvTMtYrvlp0JNentO2W2Rd8pJekekJn9e8XySdWfZJD9kuyPeSl7yk5L41ab9URue6l3viaIAt97P8TEj/fjOaTsrx3Oc+t+R+FruMDjO6Ta7tued98zd/c5lU9vSoT8VN9v3VX/3Vkp9Byfy4KRVauRcmYP9VX/VV4zax7AAE0oPmX/yLf1G+7/u+r3z+53/+1BKnd1KeFfMs1o1AkR6rCbYmnWnPkAna/qf/9J9K/qbSC7bWo2eX/gH//M//vOQzngaS4/7eVnWs5D3DWKd3df5u09g1f4P9vHTzCUT97u/+7vBtnkkz+s/wzYr/ybNmrmuZ5h1Wftas5PqSn5tKGfKM/EM/9ENjr2sZveJbvuVbypd8yZeUbLNvDUxn9Wh9u/w95vOUZ/98b83nflqZ0/AtPST/8T/+x9M2W2hd/r5y30p+8pr3owmt6l65qnv3aP4Wfb/Je3fu5bmn596e55ZxzlmW54O8Ztvss2jZ7Edg5QINJpjno2Wes/I8lMB4vl/lOWgSUZ4dnv/855fU0XWNaUa3Pe05a3T7Rd/n2pJ6weyfa36eEzM/bsooirlOJuCfkRJrPfd8uKr7QtLP8+W071Dj8rbIslWVfZFj24cAAQIE9k9AAH3/ztnB5DgPnpnmLXC+aKZHXXqfZ98MkZTWjuOmDPeYAG+2Sy/hPBBmftemv/bX/lq5y13uMsxWhu184hOfWFJBOlww8s9rX/va8uM//uPDpX/37/7dsZVqqbTI75MPN7rln/TaS0+fM2fOlJ/4iZ8o+W3N/FZshmZKQ4SrrrqqZP6WTY//T4XP0572tGGQJq1naz33EF1rLal4TQVsdkjPoVS05tzkfX/Kw2v3PhUFCV5kuwTKE5zPZ6BfWfyTP/mT5Wd/9mfLDTfcUNLb6Hu+53tKhjDsgvupZM0Xl+Qvweou7XlfE1juhpjKvmmRm174mZ93Sv4SGO/2yzlKL5ME0hPoyvQ1X/M15Yorrij5cpLypdK02757jcW4+W7Z6Gu2j+Xo8u59zmnXaCRly5eVVOCl7LFLz68Eb2o9OrdxTcVuGjrEo0tnn1/lnUArAqlQz09tpPIhf7ujDcb67zMUaa75+fvPtGqD3//93x9WDP3Yj/1YSS+FVPiv+hhdegky5T6QINsrX/nKMinIlmBTgt7ZLttnvy6NNLT70i/90pLpDne4Q8n9MRVh3fq85nr6oz/6o+WFL3xh+bVf+7Xyz/7ZP8viE1P2SeOxHCf3qpQ95+XERre8SYAk9+nco3PtzT09975bVp34PxVSKU8a0KWybVzA/sQOt7zJvW/S88Etq/2/hwL57GZ47gS3n/SkJ41tENr/+04vxYwMlOtAV9w0Dsn7f/AP/sFw6Pfc20efD9KzKJWi+XymEjiNTLv9u9d8Tr/iK76i5DOe58Q8a4+ms6pj5Zhp4JNGA5nP39S4v6ccP38nufbl7y+NFrP9aVMaLZ62TX99/FO5nutapi/4gi8o62hkmKBa94yVa0qu62l0k+FVU9Y8o/2X//JfSp7lH/jAB5Zf+qVfOnW0kX45zO+OQM5nvmf99E//9PBnstKwq/+3PDqfe0CCLve9733Xcs5Pu3ev6l6ZM5B7cO7FuScveu9OOuOm/N10I7GNWz+6LNvn2pHrWq4z67535zzmWCl7rl3jriNZlnXz3P9Hy+U9AQLjBUaXruI5K9eONGjL96s0gvuDP/iD0cOUdFZ4zGMeU86cOVNe9rKXlYzcOLrRLM9Zo/ss+r7WWp7xjGeUf/JP/slwNKw0norFaHqp/8noKLlm/dRP/VTp19+t6r4w63V4NG+Lvq91+bIvemz7ESBAgMD+CQig7985O5gc5wEzD2SjBU6rzdFl/fepXEvlWRcY76+bNn/Pe96zXHzxxdM22dq6PFwn2JkMpGI0Qe4EQFLxkC/Y11xzTUmAIr/3k4qVVMjnQTjD+3X7Zd9uqrWWVMKmd3m3LK+pcE1vlrSGTcA7vfJTEZpeTFnfTV2FTx78U6mbioBuXfeaitcM/9m9zxDvGXY0+3bL8povGgkmZz5B2wQvUqmSHlDpeZShxdNTrwvG57xmxICcq+yXCsX0Ovq6r/u6JDGcctxP+ZRPGQajhwsW+Cc9sq+++urjPVOx/Mu//MslQZTjhTPOpFdQKsjyhanbJeXIZzWB9UwvetGLSj6D8R53zvJl6jd/8ze73Yc9G/NF43jBLTOxTcvhNCK45e2wYvcP//APMzt2SoORvlv8P+3TPm04FP+DH/zgkuFfc87yWUsCaQiRfXI+8gUqy0xbFXBwAkOBXJvSOynXlWmNxrqGZLln1FpPDCU+TGhF/6QhUFd5nTy9+c1vXlHK45NJUCsNvzKySu5haQyUZ4hcExNQToOs3BOzLBXS2b6fUhpg5T6bZdk+jbfSoOkpT3nKMDiVwPnf//t/v+Rek3tDroHZdnRKQK7/jJKyp2dort+j2+Y6n6BBrvtpVJXKtKSf4+c+kwBmgmN5n/M7eh8eTa97nwq73BfzPveCNHzKvGk/BVKRmee6NFzLZ6H7G572mu1yD+/u3Sl5guLdfTu9tb/sy75sOMx5nicTgE0jjgypnF6t6YWUZ7jsNzrlb6j/Gc8zxmiDjVUdK8eu9eh59Qd+4AfytuQ6l8re7vtBKnVT4fu93/u9Jc9YedbKM9dw4yn/5PkpP5/QbZK/k6TVvR/3mutm7Lp1edbO8RLw7pat4jXPwGlgk+fhLr08f6Whb85hGtXm+vDGN76x5NqU9912XvdHIPen3B9yn8l8flt22t911mWbyy67rEy6By1b+tPu3au6V3b5zL14mXt3l07/NZa5hqVBTZbnNY3RMj9p2sa9O43w8gwQ01yv8x0v9/5Mmc+yrMv3w1nv/5PKZzkBApMFVvWc1e/8kGejNHJLY5x0lMhIE+npncZPT37yk0ve97fv526G56z+5kvPJx9plJdrUp4109gydVRprJfrab5TZLTKlGlXvkMtXehPJrBs2T+ZjBcCBAgQOAABAfQDOMn7WMT0gk3v5nGVUgns5gEuD3SjZfv1X//1kiByKq1H1532/j73uc9pm2x1fYaczUNrArmptEsv5QRLMzx9KklTwZqH8fSgS2V8AgaTKkBTkFQwZoikDB2bSsdU1NVaS16TRnrYpUIxvZWyfTfFPg//qfDJshe84AXDXu55yM77TMlfAvRdhWeW5Zw84hGPGPZGTBpZlulud7vbsMd7ggi11pKy/Pt//++HPfzyUJttUo5UFibQnIrCTKk8Sk+J/M5vhirOugQgUrmYVrGpEM4Qptl/1il5TCXs3e9+95JK5AQf+vsmX/F5yEMeUvpl6G8zaT55zjlLgCR5T0OIbHunO91pGMTK8gSwr7zyyiw+nnKcfOFKa+as71bk/CafGeo9X7RSCR6nVIJ32ySAFZN8RlJJ1z9H3TbZPoYxi93f+Tt/p+S8paIulTc5P/mcpMIuZYhzKqYSqOrS8EpgMQF7rUIgAdP8Xeb6NU96qZD9vM/7vHl2mXnbVBjlmpEd8pqGUplf11RrLbm/JLiVxlcJAnz6p396yTUt19r0KM9IKQmA5Rmh1qNRNbr85Hf8UmGda13utbk/JsD24he/uKRSKde+3G/ToCjX2W6/0dc0Jsv9ob88xxy9l3Trk8cMGZlK9ATNcu9N468EIHO/GQwGJdf3XMO7fca95j6RhmXZLs8CufZ326VBWe7jWZ9KvG65190XSC/k9IpMheY8uc1nKKPa1Hruc54ezAm4PvzhDy957kh6GcUnAdg8XyWgnmfvPDfl85f146Y8I+T5qFuXEXa6xifdslUdq0svf4/phZ0hTdPjPaNApIFLrbUk6J8GA295y1tKRmnI32q33+hrnoHyLJRnqjw/pWFKt00C1FkWnwwBn7+7bl33mr/X/H117/Oav++km/lVTqmsTtp5FsvzeBqsvu51rytpOJC/74y0lWvVKo8prc0KvOIVryj5PM971DSs+szP/Mx5d5tp+9Pu3au6V3aZqXW5e3eXTl4zqkbuc3m2eexjH5tFwyl/L913oazPdsMVvX+2de/O33n+xtPoL9/nEjDPlPksy7ps08uqWQIEViiwyuesxzzmMSXP83mWT31RrXX4E00ZsSYdXvI3neesr/7qry7pIDKpGLM8Z03ad9HleabKSJCpW8vIj/lemWfBXI/SsSbPRnkmWc13qPG5nPc6PD6V+ZcuU/b5j2YPAgQIENhXAQH0fT1zDeY7PagzVF0q/tILth8s7Bf3Xe96V7nXve5V8kCXHmH5TdOszwNwKsYmVVRnm0nTbW9725KH1Unrd2F5GhTkwTx5SWD5K7/yK0sq/FPuNCbIlEqCLEsl+rQH86SRqdZaEphNYD5DUyYAk9ekkUrRVFpmu/50z3ves+Tc5HiZMvx7KlzTI7zbLgGT9MpJr7ts05/SqztpdNvmNZWtCQLl+Km0TKAjD+1Z100JWmT4+pQ3U76g/KN/9I9KrUcVxFmfysW03E9FaoZHr/VoXZfGaa8JtiSAkp4K/Tz359OAIV8wRstwWtpZn3OSLyXJe9JJuqnATsOHLM/6bNefcpxUlObnBrJ9f8qyDKN15ZVXlnwpy/v++szHIyMRjJ6j7hg5Znp0xSzbpuypqM7oA9mm1loypGt6tcY95yBfNLLOROCgBXak8Lkf5u8zf+/zTKkkyb1knmKkoVl6m+Y4uS5N2jd5Si/VV73qVSXXlLyftO2k5QnypVdIjpX7xmiQbtx+qdzPyCUJKOd+mH1z3UpZExTL+nH7ZVmOl1Fdck/LvpkSkM/1PqPaTNs3+2eqtZZnPetZJecjga401D6OEAAAEABJREFUmkq+x91Ls32mXIPTqCr33eQ1ec6xk+dUWk0LCGb/TLlPpHFhrvW5jieN/pTgYNanHNnetB8C+exkVJr+uZxlPj9xM9o4ptZa8syU5408dySdPIfk857ho9PIZdrntBNLnl7+8peX5Ottb3tbSU+qbl33WutqjtWl1712f6O5piT/mfLck+egPMvWOv2ZL8+peRbKtSv7Zf/+lL/bNCjMMKV5ruqO273muTSNM/PzPukJnLTy95nvI902p72mDLNe13JtyLNtnsczbP6ZM2dKKpiz/LTjWL/7AuntN+563f9MjptPw655PnORWOW9O5/hZe+VyVN/yv110Xt3l04CzbnP5X436hbn3B+zPtt1+3SvtW7n3p3j5/tWRtXI998u35nPsqzLNiYCBNYjkGeaPM90f3uzvo57zsq9uXueT31a6rXymu8kz372s4fPYNnmtJIkT6c9Z52WRq7Tsz5rdGnVeu7ZLc+Hsci1Mz3Qc33OdbrbdvQ1x1v2vlDr/Nfh0Xx07/Ocl/znO2vuf93ySa+1zlH2SYlYToAAAQJNCwigN31696tw+Z3DVFan4jgPPKdNeaBL0C+/F5eS5mEzleyn7TdufYZuy9CIScdEgAABAgRaF1h3+VKZkorqaRUu687DttJPI7L0Pnn7299e0mP1EA22Ze+46xdIIDmf6/TIrnV60Hr9udnsEWqtJX/PaXz0zne+syS4ncD8ZnPhaATWJ+DefYfi3r2+z5eUCRA4XeCQn7N8hzr987HMFvYlQIAAgcUEBNAXc7MXAQIECBAgQIDAdgR2/qjpBZef5sjPmdR6WEHGnT85MkhgSYEMq56h2zMU65JJ2Z0AgR0ScO/eoZMhKwQIHKSA6/BBnvZZCm0bAgQIbE1AAH1r9A5MgAABAgQIECDQmkB+gz0/uZIhG//23/7bY4pnEQEC+yiQUaxe9rKXle/93u8tP/ETP1HSE30fyyHPBAicL+Defb6JJQQIENikgOvwJrUda7MCjkaAwD4LCKDv89mTdwIECBAgQIAAgZ0R+B//43+UwWBQ8tvp//Af/sOdyddKMyIxAgcqkL/rl770peVVr3pV0TjmQD8Eit2kgHt3k6dVoQgQ2CMB1+E9OlmyengCSkzgwAUE0A/8A6D4BAgQIECAAAECqxFI0PzVr351ye9DryZFqaxaQHoEFhV46EMfWtID/Yorrlg0CfsRILCDAu7dO3hSZIkAgYMScB0+qNOtsAQ2KuBgBJYVEEBfVtD+BAgQIECAAAECBAgQWL+AIxAgQIAAAQIECBAgQIAAAQLtCyjhDggIoO/ASZAFAgQIECBAgAABAgQItC2gdAQIECBAgAABAgQIECBAgED7Am2UUAC9jfOoFAQIECBAgAABAgQIECCwLgHpEiBAgAABAgQIECBAgAABAu0LfLKEAuifhPBCgAABAgQIECBAgAABAgRaFFAmAgQIECBAgAABAgQIECBAYHaBfQ2gz15CWxIgQIAAAQIECBAgQIAAAQL7KiDfBAgQIECAAAECBAgQIEBgowIC6Bvl7g62e6/vfve7y93vfvfh9JrXvKa84Q1vMG3Q4K1vfevQPufgxS9+MfsN2vus+1tv/TPw3Oc+t2R68pOf7Nri2uIz4DMw9jPQXSNe/epXj13f+nVS+TwLtPoZyN/2933f9w2fA1ot436Uy9+Y87Taz0D+tjM9/elPd9/2bOcz4DPgM7DFz8BP//RPD+tz8z1q92r75YgAAQIElhUQQF9WsJH93//+95d3vOMdw+l973tfue997zt5sm7lNh/84AeH9jkHP/RDP7Ty9J1Pn2efgcP9DHzrt35ryXTVVVe5trh/+Qz4DIz9DOQa8ZznPKc88IEPHLvePeRw7yHO/X6f+/xtP+1pTxs+BziX+30ut3r+3Dt37t6Yv+1M//E//sedy5vPqmuNz4DPwCF9Bt7ylrcM63MvvfTSRiIEikGAAAECfQEB9L6G+YMQ2PVCfvM3f3NJoMt0FYdbAp5XmXwOlvwMfP3Xf33J9IVf+IUsl7T093iVz1Cjn6FcIx784AeXn/qpn3KOGz3HVynXQX6287f9qEc9avgc4DNw1UF+Bq7yt19aNMjfdqaHPexhPtc+4z4DPgM+A1v8DNzjHvcYPmcV/xEgQIBAkwIC6E2e1uULdeGFFxbT5gz6ZywV2I9+9KPLhMlyNj4DPgNzfQae97znlUy/9mu/Ntd+rkGuwz4Dh/MZyDXiFa94RXn84x/vOuEe4zPQ0Gcgf9svfOELh88BrumHc013rps612OvyfnbzvSyl71s7HqfgfY/A86xc+wzsBufgVyHcz3OaF79ul3zBAgQINCGgAB6G+dx6VJkCPezZ8+WTH/yJ39SPvGJT5g2aHD99dcP7eN/n/vcZ+nzubsJyBkBAgQIECBAgAABAgQIECDQvoASEiBAgAABAgQIENhfAQH0/T13ck6AwKYFHI8AAQIECBAgQIAAAQIECBBoX0AJCRAgQIAAAQIEDlpAAP2gT7/CEyBwSALKSoAAAQIECBAgQIAAAQIECLQvoIQECBAgQIAAAQLLCQigL+dnbwIECBDYjICjECBAgAABAgQIECBAgAABAu0LKCEBAgQIECBAYOsCAuhbPwUyQIAAAQLtCyghAQIECBAgQIAAAQIECBAg0L6AEhIgQIAAAQItCAigt3AWlYEAAQIECKxTQNoECBAgQIAAAQIECBAgQIBA+wJKSIAAAQIECAwFBNCHDP4hQIAAAQIEWhVQLgIECBAgQIAAAQIECBAgQKB9ASUkQIAAAQKrEhBAX5WkdAgQIECAAAECqxeQIgECBAgQIECAAAECBAgQINC+gBISIECAwA4JCKDv0MmQFQIECBAgQIBAWwJKQ4AAAQIECBAgQIAAAQIECLQvoIQECBBoS0AAva3zqTQECBAgQIAAAQKrEpAOAQIECBAgQIAAAQIECBAg0L6AEhIgQGBEQAB9BMRbAgQIECBAgAABAi0IKAMBAgQIECBAgAABAgQIECDQvoASEiCwegEB9CVNb7rppqkp3HDDDVPXW0mAAAECBAgQIECAwHkCFhAgQIAAAQIECBAgQIAAAQLtCyghgYUEPvKRjyy036w7CaDPKjVhuw996EPloosuKhdffPHY6eabby6ZJuxuMQECBAgQIECAAAECzQkoEAECBAgQIECAAAECBAgQINC+gBKuQyCdly+88MKxcdfEYxOX/djHPlbOnj1b1vWfAPqSspdffnlJL/OcqHHTJZdcUm51K8xLMtudAAECBAgQIECAAIFNCTgOAQIECBAgQIAAAQIECBAg0L7AjpbwggsuKDfeeGMZF3fNssRlb3e725Va69pKILK7NloJEyBAgAABAgQIECBAgMCmBRyPAAECBAgQIECAAAECBAgQaF9gnSUUQF+nrrQJECBAgAABAgQIECBAgMDsArYkQIAAAQIECBAgQIAAAQIEtiywgQD6lkvo8AQIECBAgAABAgQIECBAgMAGBByCAAECBAgQIECAAAECBAjsv4AA+mnn0HoCBAgQIECAAAECBAgQIECgfQElJECAAAECBAgQIECAAAECtwgIoN+C0PL/ykaAAAECBAgQIECAAAECBAi0L6CEBAgQIECAAAECBAgQILAaAQH01ThKZT0CUiVAgAABAgQIECBAgAABAgTaF1BCAgQIECBAgAABAgQI7IyAAPrOnAoZaU9AiQgQIECAAAECBAgQIECAAIH2BZSQAAECBAgQIECAAIGWBATQWzqbykJglQLSIkCAAAECBAgQIECAAAECBNoXUEICBAgQIECAAAECBE4ICKCf4PCGAIFWBJSDAAECBAgQIECAAAECBAgQaF9ACQkQIECAAAECBAisWkAAfdWi0iNAgMDyAlIgQIAAAQIECBAgQIAAAQIE2hdQQgIECBAgQIAAgR0UEEDfwZMiSwQIENhvAbknQIAAAQIECBAgQIAAAQIE2hdQQgIECBAgQIBAmwIC6G2eV6UiQIAAgUUF7EeAAAECBAgQIECAAAECBAi0L6CEBAgQIECAAIEJAgLoE2AsJkCAAAEC+yggzwQIECBAgAABAgQIECBAgED7AkpIgAABAgQIrE9AAH19tlImQIAAAQIE5hOwNQECBAgQIECAAAECBAgQINC+gBISIECAAIGdFhBA3+nTI3MECBAgQIDA/gjIKQECBAgQIECAAAECBAgQINC+gBISIECAQOsCAuitn2HlI0CAAAECBAjMImAbAgQIECBAgAABAgQIECBAoH0BJSRAgACBUwUE0E8lsgEBAgQIECBAgMCuC8gfAQIECBAgQIAAAQIECBAg0L6AEhIgQGATAgLom1B2DAIECBAgQIAAAQKTBawhQIAAAQIECBAgQIAAAQIE2hdQQgIE9kRAAH1PTpRsEiBAgAABAgQIENhNAbkiQIAAAQIECBAgQIAAAQIE2hdQQgKHIyCAfjjnWkkJECBAgAABAgQIEBgV8J4AAQIECBAgQIAAAQIECBBoX0AJCcwhIIA+B5ZNCRAgQIAAAQIECBAgsEsC8kKAAAECBAgQIECAAAECBAi0L6CEmxUQQN+st6MRIECAAAECBAgQIECAwJGAfwkQIECAAAECBAgQIECAAIH2BfauhALoe3fKZJgAAQIECBAgQIAAAQIEti8gBwQIECBAgAABAgQIECBAgECLAicD6C2WUJkIECBAgAABAgQIECBAgACBkwLeESBAgAABAgQIECBAgAABAmMFmgqgjy2hhQQIECBAgAABAgQIECBAgEBTAgpDgAABAgQIECBAgAABAgTWJSCAvi7Z+dO1BwECBAgQIECAAAECBAgQINC+gBISIECAAAECBAgQIECAwA4LCKDv8MnZr6zJLQECBAgQIECAAAECBAgQINC+gBISIECAAAECBAgQIECgbQEB9LbPr9LNKmA7AgQIECBAgAABAgQIECBAoH0BJSRAgAABAgQIECBAgMApAgLopwBZTWAfBOSRAAECBAgQIECAAAECBAgQaF9ACQkQIECAAAECBAgQWL+AAPr6jR2BAIHpAtYSIECAAAECBAgQIECAAAEC7QsoIQECBAgQIECAAIG9EBBA34vTJJMECOyugJwRIECAAAECBAgQIECAAAEC7QsoIQECBAgQIECAwKEICKAfyplWTgIECIwTsIwAAQIECBAgQIAAAQIECBBoX0AJCRAgQIAAAQIEZhYQQJ+ZavyG733ve8sVV1wxcbrhhhvG72gpAQIECCwtIAECBAgQIECAAAECBAgQIECgfQElJECAAAECBA5H4IMf/GC5wx3uMDH2mrjsNddcs1YQAfQlee985zuX973vfROniy66aMkj2J0AAQIEGhVQLAIECBAgQIAAAQIECBAgQKB9ASUkQIAAAQIE5hC4/PLLy3XXXTcx9pq47J3udKc5Upx/UwH0+c3sQYAAAQIECBQEBAgQIGWjTrYAABAASURBVECAAAECBAgQIECAQPsCSkiAAAECBA5PQAD98M65EhMgQIAAAQIECBAgQIAAAQIECBAgQIAAgfYFlJAAAQIECCwgIIC+AJpdCBAgQIAAAQLbFHBsAgQIECBAgAABAgQIECBAoH0BJSRAgACB7QgIoG/H3VEJECBAgAABAocqoNwECBAgQIAAAQIECBAgQIBA+wJKSIAAgb0VEEDf21Mn4wQIECBAgAABApsXcEQCBAgQIECAAAECBAgQIECgfQElJEDgkAUE0A/57Cs7AQIECBAgQIDAYQkoLQECBAgQIECAAAECBAgQINC+gBISILCUgAD6Unx2JkCAAAECBAgQIEBgUwKOQ4AAAQIECBAgQIAAAQIECLQvoIQEti0ggL7tM+D4BAgQIECAAAECBAgcgoAyEiBAgAABAgQIECBAgAABAu0LKGEDAgLoDZxERSBAgAABAgQIECBAgMB6BaROgAABAgQIECBAgAABAgQItC+ghBEQQI+CiQABAgQIECBAgAABAgTaFVAyAgQIECBAgAABAgQIECBAoH2BFZVQAH1FkJIhQIAAAQIECBAgQIAAAQLrEJAmAQIECBAgQIAAAQIECBAgsDmBbQXQN1dCRyJAgAABAgQIECBAgAABAgS2JeC4BAgQIECAAAECBAgQIEBgrwQE0Bc6XXYiQIAAAQIECBAgQIAAAQIE2hdQQgIECBAgQIAAAQIECBA4NAEB9EM74ymviQABAgQIECBAgAABAgQIEGhfQAkJECBAgAABAgQIECBAYG4BAfS5yeywbQHHJ0CAAAECBAgQIECAAAECBNoXUEICBAgQIECAAAECBAhsQ0AAfRvqjnnIAspOgAABAgQIECBAgAABAgQItC+ghAQIECBAgAABAgQI7KmAAPqenjjZJrAdAUclQIAAAQIECBAgQIAAAQIE2hdQQgIECBAgQIAAAQKHKyCAfrjnXskJHJ6AEhMgQIAAAQIECBAgQIAAAQLtCyghAQIECBAgQIAAgSUEBNCXwLMrAQIENingWAQIECBAgAABAgQIECBAgED7AkpIgAABAgQIECCwXQEB9O36OzoBAgQORUA5CRAgQIAAAQIECBAgQIAAgfYFlJAAAQIECBAgsPcCAuh7fwoVgAABAgTWL+AIBAgQIECAAAECBAgQIECAQPsCSkiAAAECBAgQKEUA3aeAAAECBAi0LqB8BAgQIECAAAECBAgQIECAQPsCSkiAAAECBAisREAAfSWMEiFAgAABAgTWJSBdAgQIECBAgAABAgQIECBAoH0BJSRAgAABArsiIIC+K2dCPggQIECAAIEWBZSJAAECBAgQIECAAAECBAgQaF9ACQkQIECgIQEB9IZOpqIQIECAAAECBFYrIDUCBAgQIECAAAECBAgQIECgfQElJECAAIG+gAB6X8M8AQIECBAgQIBAOwJKQoAAAQIECBAgQIAAAQIECLQvoIQECBBYsYAA+opBJUeAAAECBAgQIEBgFQLSIECAAAECBAgQIECAAAECBNoXUEICBHZPQAB9986JHBEgQIAAAQIECBDYdwH5J0CAAAECBAgQIECAAAECBNoXUEICTQoIoDd5WhWKAAECBAgQIECAAIHFBexJgAABAgQIECBAgAABAgQItC+ghATGCwigj3exlAABAgQIECBAgAABAvspINcECBAgQIAAAQIECBAgQIBA+wJKuDYBAfS10UqYAAECBAgQIECAAAECBOYVsD0BAgQIECBAgAABAgQIECDQvsAul1AAfZfPjrwRIECAAAECBAgQIECAwD4JyCsBAgQIECBAgAABAgQIECCw5wIzBND3vIRrzv573vOecsc73nHi9LGPfWzNOZA8AQIECBAgQIAAAQIECBBYhYA0CBAgQIAAAQIECBAgQIDAdgVuvPHGcvnll0+Mvd7+9rcvf/EXf7HWTLYfQF8rXyl3uctdyrXXXjtxuvjii9ecA8kTIECAAAECBAgQIECAAAECBQEBAgQIECBAgAABAgQI7L3AhRdeWD74wQ9OjL3+5V/+5TC4vs6CCqCvU3cFaUuCAAECBAgQIECAAAECBAgQaF9ACQkQIECAAAECBAgQIEBgNoELLrhgtg0X3EoAfUE4u80kYCMCBAgQIECAAAECBAgQIECgfQElJECAAAECBAgQIECAQDMCAujNnEoFWb2AFAkQIECAAAECBAgQIECAAIH2BZSQAAECBAgQIECAAAEC5wQE0M9ZmCPQloDSECBAgAABAgQIECBAgAABAu0LKCEBAgQIECBAgAABAisVEEBfKafECBBYlYB0CBAgQIAAAQIECBAgQIAAgfYFlJAAAQIECBAgQIDArgkIoO/aGZEfAgRaEFAGAgQIECBAgAABAgQIECBAoH0BJSRAgAABAgQIEGhQQAC9wZOqSAQIEFhOwN4ECBAgQIAAAQIECBAgQIBA+wJKSIAAAQIECBAgME5AAH2cimUECBAgsL8Cck6AAAECBAgQIECAAAECBAi0L6CEBAgQIECAAIE1CQigrwlWsgQIECBAYBEB+xAgQIAAAQIECBAgQIAAAQLtCyghAQIECBAgsLsCAui7e27kjAABAgQI7JuA/BIgQIAAAQIECBAgQIAAAQLtCyghAQIECBBoWkAAvenTq3AECBAgQIDA7AK2JECAAAECBAgQIECAAAECBNoXUEICBAgQIDBdQAB9uo+1BAgQIECAAIH9EJBLAgQIECBAgAABAgQIECBAoH0BJSRAgACBtQsIoK+d2AEIECBAgAABAgROE7CeAAECBAgQIECAAAECBAgQaF9ACQkQILAPAgLo+3CW5JEAAQIECBAgQGCXBeSNAAECBAgQIECAAAECBAgQaF9ACQkQOBABAfQDOdGKSYAAAQIECBAgQGC8gKUECBAgQIAAAQIECBAgQIBA+wJKSIDArAIC6LNK2Y4AAQIECBAgQIAAgd0TkCMCBAgQIECAAAECBAgQIECgfQElJLBBAQH0DWI7FAECBAgQIECAAAECBPoC5gkQIECAAAECBAgQIECAAIH2BZRwvwQE0PfrfMktAQIECBAgQIAAAQIEdkVAPggQIECAAAECBAgQIECAAIH2BQ6uhALoB3fKFZgAAQIECBAgQIAAAQIESmFAgAABAgQIECBAgAABAgQItC8wfwkF0Oc3swcBAgQIECBAgAABAgQIENiugKMTIECAAAECBAgQIECAAAECaxHYqQD6WkooUQIECBAgQIAAAQIECBAgQGCnBGSGAAECBAgQIECAAAECBAjsqoAA+urOjJQIECBAgAABAgQIECBAgACB9gWUkAABAgQIECBAgAABAgQaFhBAb/jkzlc0WxMgQIAAAQIECBAgQIAAAQLtCyghAQIECBAgQIAAAQIECEwTEECfpmPd/gjIKQECBAgQIECAAAECBAgQINC+gBISIECAAAECBAgQIEBgzQIC6GsGljyBWQRsQ4AAAQIECBAgQIAAAQIECLQvoIQECBAgQIAAAQIECOy+gAD67p8jOSSw6wLyR4AAAQIECBAgQIAAAQIECLQvoIQECBAgQIAAAQIEDkJAAP0gTrNCEiAwWcAaAgQIECBAgAABAgQIECBAoH0BJSRAgAABAgQIECAwm4AA+mxOtiJAgMBuCsgVAQIECBAgQIAAAQIECBAg0L6AEhIgQIAAAQIECGxMQAB9Y9QORIAAAQKjAt4TIECAAAECBAgQIECAAAEC7QsoIQECBAgQIEBgnwQE0PfpbMkrAQIECOySgLwQIECAAAECBAgQIECAAAEC7QsoIQECBAgQIHBgAgLoB3bCFZcAAQIECBwJ+JcAAQIECBAgQIAAAQIECBBoX0AJCRAgQIAAgXkFBNDnFbM9AQIECBAgsH0BOSBAgAABAgQIECBAgAABAgTaF1BCAgQIECCwBQEB9CXQz549W66//vpy4YUXllvf+tbnTVn+4Q9/uGS7JQ5jVwIECBAgQKAxAcUhQIAAAQIECBAgQIAAAQIE2hdQQgIECBCYX+Dmm28uF1xwwXlx1y4Wm/jrX/3VX82f8Bx7CKDPgTW6aa213OpWtyo33nhj+cQnPnHelOU5wbXW4j8CBAgQIECAQCMCikGAAAECBAgQIECAAAECBAi0L6CEBAgQ2IpAYq833XTTeXHXLhab+OvFF1+81rwJoC/Je+mll05N4ZJLLpm63koCBAgQIECAAIFNCjgWAQIECBAgQIAAAQIECBAg0L6AEhIg0LJAOjCvs3wC6OvUlTYBAgQIECBAgACBVQpIiwABAgQIECBAgAABAgQIEGhfQAkJENiqgAD6VvkdnAABAgQIECBAgMDhCCgpAQIECBAgQIAAAQIECBAg0L6AEhLYdwEB9H0/g/JPYE8Eaq2lVlOtDGplUCuDWhnUyqBWBrUyqHVvDDzLOFc+Az4DPgM+Az4DPgM+Az4DPgM+Az4DC34G9qQaWzYJRMBEoAig+xAQIECAAAECBAgQIECgeQEFJECAAAECBAgQIECAAAECBNoXUMJVCAigr0JRGgQIECBAgAABAgQIECCwPgEpEyBAgAABAgQIECBAgAABAu0L7EgJBdB35ETIBgECBAgQIECAAAECBAi0KaBUBAgQIECAAAECBAgQIECAwP4ILBpA358SyikBAjslcPbs2WJi4DPgM+Az4DPgM+Az4DPgM+AzsDefAc/vvsP4DPgM+Az4DPgM+Az4DPgMLPQZ2KmKaZkhQIDAHAIHGkCfQ8imBAgQIECAAAECBAgQIECAwJ4KyDYBAgQIECBAgAABAgQIEJhPQAB9Pq/d2FouCBAgQIAAAQIECBAgQIAAgfYFlJAAAQIECBAgQIAAAQIENi4ggL5xcgckQIAAAQIECBAgQIAAAQIECLQvoIQECBAgQIAAAQIECBDYRwEB9H08a/K8TQHHJkCAAAECBAgQIECAAAECBNoXUEICBAgQIECAAAECBA5UQAD9QE+8Yh+qgHITIECAAAECBAgQIECAAAEC7QsoIQECBAgQIECAAAECiwoIoC8qZz8CBDYv4IgECBAgQIAAAQIECBAgQIBA+wJKSIAAAQIECBAgQGCLAgLoW8R3aAIEDktAaQkQIECAAAECBAgQIECAAIH2BZSQAAECBAgQIEBgvwUE0Pf7/Mk9AQIENiXgOAQIECBAgAABAgQIECBAgED7AkpIgAABAgQIEDh4AQH0g/8IACBAgMAhCCgjAQIECBAgQIAAAQIECBAg0L6AEhIgQIAAAQIElhcQQF/eUAoECBAgQGC9AlInQIAAAQIECBAgQIAAAQIE2hdQQgIECBAgQGAnBATQd+I0yAQBAgQIEGhXQMkIECBAgAABAgQIECBAgACB9gWUkAABAgQItCIggN7KmVQOAgQIECBAYB0C0iRAgAABAgQIECBAgAABAgTaF1BCAgQIECBwLCCAfkxhhgABAgQIECDQmoDyECBAgAABAgQIECAbxARtAAAQAElEQVRAgAABAu0LKCEBAgQIrFJAAH2VmtIiQIAAAQIECBBYnYCUCBAgQIAAAQIECBAgQIAAgfYFlJAAAQI7JiCAvmMnRHYIECBAgAABAgTaEFAKAgQIECBAgAABAgQIECBAoH0BJSRAoD0BAfT2zqkSESBAgAABAgQIEFhWwP4ECBAgQIAAAQIECBAgQIBA+wJKSIDAGAEB9DEoFhEgQIAAAQIECBAgsM8C8k6AAAECBAgQIECAAAECBAi0L6CEBNYjIIC+HlepEiBAgAABAgQIECBAYDEBexEgQIAAAQIECBAgQIAAAQLtCyjhzgoIoO/sqZExAgQIECBAgAABAgQI7J+AHBMgQIAAAQIECBAgQIAAAQLtC7RcQgH0ls+ushEgQIAAAQIECBAgQIDAPAK2JUCAAAECBAgQIECAAAECBNoXmFpCAfSpPFYSIECAAAECBAgQIECAAIF9EZBPAgQIECBAgAABAgQIECBAYFmB3Q+gL1tC+xMgQIAAAQIECBAgQIAAAQK7LyCHBAgQIECAAAECBAgQIEBgBwQE0Nd8EiRPgAABAgQIECBAgAABAgQItC+ghAQIECBAgAABAgQIECDQhoAAehvncV2lkC4BAgQIECBAgAABAgQIECDQvoASEiBAgAABAgQIECBAgMAnBQTQPwmx6MtNN900ddfT1k/d2colBexOgAABAgQIECBAgAABAgQItC+ghAQIECBAgAABAgQIEFidgAD6kpbXXXddueyyy8rtbne7sdPHP/7xIoi+JPKh7q7cBAgQIECAAAECBAgQIECAQPsCSkiAAAECBAgQIECAwLHA9ddfXy655JKxcdcuHnvttdeWdf4ngL6k7hVXXFFyIj/wgQ+UcVNO8AUXXLDkUexOYP8E5JgAAQIECBAgQIAAAQIECBBoX0AJCRAgQIAAAQIECKxSIB2XP/rRj46Nu3ax2Dve8Y6rPOR5aQmgn0diAQECBAoCAgQIECBAgAABAgQIECBAoH0BJSRAgAABAgQIECBwnoAA+nkkFhAgQGDfBeSfAAECBAgQIECAAAECBAgQaF9ACQkQIECAAAECBNYhIIC+DlVpEiBAgMDiAvYkQIAAAQIECBAgQIAAAQIE2hdQQgIECBAgQIDAjgoIoO/oiZEtAgQIENhPAbkmQIAAAQIECBAgQIAAAQIE2hdQQgIECBAgQKBdAQH0ds+tkhEgQIAAgXkFbE+AAAECBAgQIECAAAECBAi0L6CEBAgQIECAwBQBAfQpOFYRIECAAAEC+yQgrwQIECBAgAABAgQIECBAgED7AkpIgAABAgTWKyCAvl5fqRMgQIAAAQIEZhOwFQECBAgQIECAAAECBAgQINC+gBISIECAwM4LCKDv/CmSQQIECBAgQIDA7gvIIQECBAgQIECAAAECBAgQINC+gBISIEDgEAQE0A/hLCsjAQIECBAgQIDANAHrCBAgQIAAAQIECBAgQIAAgfYFlJAAAQIzCQigz8RkIwIECBAgQIAAAQK7KiBfBAgQIECAAAECBAgQIECAQPsCSkiAwKYEBNA3Je04BAgQIECAAAECBAicL2AJAQIECBAgQIAAAQIECBAg0L6AEhLYIwEB9D06WbJKgAABAgQIECBAgMBuCcgNAQIECBAgQIAAAQIECBAg0L6AEh6WgAD6YZ1vpSVAgAABAgQIECBAgEAn4JUAAQIECBAgQIAAAQIECBBoX0AJ5xQQQJ8TzOYECBAgQIAAAQIECBAgsAsC8kCAAAECBAgQIECAAAECBAi0L7D5Egqgb97cEQkQIECAAAECBAgQIEDg0AWUnwABAgQIECBAgAABAgQIENhJgZUG0HeyhDJFgAABAgQIECBAgAABAgQIrFRAYgQIECBAgAABAgQIECBAoFUBAfRzZ9YcAQIECBAgQIAAAQIECBAg0L6AEhIgQIAAAQIECBAgQIAAgYkCAugTafZthfwSIECAAAECBAgQIECAAAEC7QsoIQECBAgQIECAAAECBAisU0AAfZ260p5dwJYECBAgQIAAAQIECBAgQIBA+wJKSIAAAQIECBAgQIAAgR0XEEDf8RMke/shIJcECBAgQIAAAQIECBAgQIBA+wJKSIAAAQIECBAgQIBA+wIC6O2fYyUkcJqA9QQIECBAgAABAgQIECBAgED7AkpIgAABAgQIECBAgMAMAgLoMyDZhACBXRaQNwIECBAgQIAAAQIECBAgQKB9ASUkQIAAAQIECBAgsBkBAfTNODsKAQIExgtYSoAAAQIECBAgQIAAAQIECLQvoIQECBAgQIAAAQJ7IyCAvjenSkYJECCwewJyRIAAAQIECBAgQIAAAQIECLQvoIQECBAgQIAAgUMSEEA/pLOtrAQIECDQFzBPgAABAgQIECBAgAABAgQItC+ghAQIECBAgACBuQQE0OfisjEBAgQIENgVAfkgQIAAAQIECBAgQIAAAQIE2hdQQgIECBAgQGDTAgLomxZ3PAIECBAgQKAUBgQIECBAgAABAgQIECBAgED7AkpIgAABAgT2UEAAfQ9PmiwTIECAAAEC2xVwdAIECBAgQIAAAQIECBAgQKB9ASUkQIAAgcMUEEA/zPOu1AQIECBAgMDhCig5AQIECBAgQIAAAQIECBAg0L6AEhIgQIDAggIC6AvC2Y0AAQIECBAgQGAbAo5JgAABAgQIECBAgAABAgQItC+ghAQIENiegAD69uwdmQABAgQIECBA4NAElJcAAQIECBAgQIAAAQIECBBoX0AJCRDYawEB9L0+fTJPgAABAgQIECBAYHMCjkSAAAECBAgQIECAAAECBAi0L6CEBA5dQAB9yU/Au9/97nKnO91p4vTRj350ySPYnQABAgQIECBAgACBFQhIggABAgQIECBAgAABAgQIEGhfQAn3XOD//b//Vy677LKJsdfEZd/73veutZQC6Evy3vWudy3XXHPNxOmSSy5Z8gh2J0CAAAECBAgQIEBgHoFaa6l18jRPWruz7eSc1Dq+rOP2qHX2bcftvy/Laj2/nP2813pufX/5rs/Xei7ftc4+v+vlkr/NCtR6/mdnszlwNAIECBAgQIAAAQIEJgtYc9vb3rZcf/31E2Ovicve+c53XiuUAPpaeSVOgAABAgQIECBAgAABAgUBAQIECBAgQIAAAQIECBAg0L5AIyUUQG/kRCoGAQIECBAgQIAAAQIECKxHQKoECBAgQIAAAQIECBAgQIBA+wJdCQXQOwmvBAgQIECAAAECBAgQIECgPQElIkCAAAECBAgQIECAAAECBOYQ2NMA+hwltCkBAgQIECBAgAABAgQIHKTA2bNnSzfVeu53n/cNo9ajvPfz3ZVr0mt/21qP9q+19hfvybxsEiBAgAABAgQIECBAgACBzQoIoG/W++ho/iVAgAABAgQIECBAgAABAgTaF1BCAgQIECBAgAABAgQIENg7AQH0vTtl28+wHBAgQIAAAQIECBAgQIAAAQLtCyghAQIECBAgQIAAAQIEDlFAAP0Qz/phl1npCRAgQIAAAQIEGhSotZZaj6Z+8brhrfvLaj3artbaX3wQ853H6Gtrhe/K1y9Xt2z0tb9NS/Oj5ezet1RGZSFwioDVBAgQIECAAAECBAgQWEhAAH0hNjsR2JaA4xIgQIAAAQIECBAgQIAAAQLtCyghAQIECBAgQIAAAQLbEhBA35a84xI4RAFlJkCAAAECBAgQIECAAAECBNoXUEICBAgQIECAAAECeywggL7HJ0/WCRDYrICjESBAgAABAgQIECBAgAABAu0LKCEBAgQIECBAgMBhCwigH/b5V3oCBA5HQEkJECBAgACBGQVqraXW86fTdq/1/H1qrWN3q7WOPUat5y8fm8CCC2s9P/1a61yp1VrXkvdaZ0t3lszWOltatdZZkjvepta6lrIfH2COmVrP5WWO3U7dtNZz6dY6ff60xGodv3+3X63T13fb5bXW2bfN9qdNtY5Pr9bzly+SVn+fWudP87T9az0/zVprfzfzBAgcroCSEyBAgAABAgQILCkggL4koN0JECBAYBMCjkGAAAECBAgQIECAAAECBAi0L6CEBAgQIECAAIHtCwigb/8cyAEBAgQItC6gfAQIECBAgAABAgQIECBAgED7AkpIgAABAgQINCEggN7EaVQIAgQIECCwPgEpEyBAgAABAgQIECBAgAABAu0LKCEBAgQIECBwJCCAfuTgXwIECBAgQKBNAaUiQIDAzgjUWkutR9PZs2fLtKmf6VqP9qm19hdvdL7WulTeJ2W21nPpdttMcunW13r+PllX67nlk9Lolmf7bqr1aL/u/ehrrUfra63Hq7p0Rl+PN7hlptY6NLtldun/u+NMSqjWo2PVeu510rbjltc6fr/uuP3X/v61jt+vv824+VqP9psl3Vpn33bcsfrLaj1Kq9Y69e8v+Rq3X3/ZafO1jj9Wt1+t59Z3y0Zfaz3aJvk5ber2rfVon1prt8grAQIECBA4FAHlJECAAAECKxMQQF8ZpYQIECBAgAABAqsWkB4BAgQIECBAgAABAgQIECDQvoASEiBAgMAuCQig79LZkBcCBAgQIECAQEsCykKAAAECBAgQIECAAAECBAi0L6CEBAgQaExAAL2xE6o4BAgQIECAAAECqxGQyu4L1FqHQ2TXWk9ktj/Ucbdi3LKsq7Wel8Y829Z6/v5Jd1wa45Zl21rPpVHr0XyW79I0Lu+1HuW11pOv68p3Pw/dfP9Y3bK8dstrPZm3Wo/ed+v37TVl66bT8l7rUVlrradtuvH1s5YhGZtn22w/berSymu3Xa31+BpQ67n5bv2irzlGNy2bRn//Ws/lsdZz8/1tzBMgQIAAAQIECMwnYGsCBAiMCgigj4p4T4AAAQIECBAgQGD/BZSAAAECBAgQIECAAAECBAgQaF9ACQkQWIOAAPoaUCVJgAABAgQIECBAgMAyAvYlQIAAAQIECBAgQIAAAQIE2hdQQgK7KSCAvpvnRa4IECBAgAABAgQIENhXAfkmQIAAAQIECBAgQIAAAQIE2hdQwmYFBNCbPbUKRoAAAQIECBAgQIDArgrUOv63i5f9zeRVlPe0NGo9ynt/uy7fee0v39Z8rbufx2VtYj1uGpdurUcetdZxqycuq7WWWk9OEzfesxW1HpWrn+2+Z3/5tudrPcprrfVEVnY1vycy6Q0BAgQIECBAgAABAjsrIGOTBQTQJ9tYQ4AAAQIECBAgQIAAAQL7JSC3BAgQIECAAAECBAgQIECAQPsCay2hAPpaeSVOgAABAgQIECBAgAABAgRmFbAdAQIECBAgQIAAAQIECBAgsG2B9QfQt11CxydAgAABAgQIECBA4KAEaq3nDTtd67ll28KodXwe9mEY5lrPz/uu5bvW3c/jJj573XlZxbG6tGZ5HR5vx/+pdb8+I7Ue5bfP2j8X/eXmCRAgQIAAAQIECBAgQGB1AgLop1haTYAAAQIEFXtcqgAAEABJREFUCBAgQIAAAQIECLQvoIQECBAgQIAAAQIECBAgQCACAuhRaHdSMgIECBAgQIAAAQIECBAgQKB9ASUkQIAAAQIECBAgQIAAgRUJCKCvCFIy6xCQJgECBAgQIECAAAECBAgQINC+gBISIECAAAECBAgQIEBgdwQE0HfnXMhJawLKQ4AAAQIECBAgsBaBWqf/LnD/N4JPm+9nsNbp6S66bX8/84sL1Hp0fmo997p4avu1Z63nylzr0fy2SlDr0fFrPfm6rfw4LoGdEJAJAgQIECBAgAABAgSaEhBAb+p0KgyB1QlIiQABAgQIECBAgAABAgQIEGhfQAkJECBAgAABAgQIEDgpIIB+0sM7AgTaEFAKAgQIECBAgAABAgQIECBAoH0BJSRAgAABAgQIECCwcgEB9JWTSpAAAQLLCtifAAECBAgQIECAAAECBAgQaF9ACQkQIECAAAECBHZRQAB9ibNy8803l/e///3lsssumzh99KMfLZ/4xCeWOIpdCRAgsGcCskuAAAECBAiMFTh79mzppv4GtdZS68mpv34X5rt857XLT60n81zr0ftu/SyvSa+buu1rPUqn1pOv3fpu+7x2y/Ka992U95lqPZlGrUfvs27WqUszr90+tR6lU+vJ1259XrN9pswvOyWdTP10aj157FpPvu9vm327qb+8m+/W5bVbltdaT6ZZa83i4ynbd9Pxwh2e6fKa1y6btdbz/v5qrd3qrb4mn5n6mai17mx++/k0T4DAgQgoJgECBAgQIEBgDQI33HBDuc1tbjMx9nrppZeW6667bg1HPpekAPo5i7nnbnWrW5Xb3va25frrr584ZZtb3/rWc6dtBwIECBDYjoCjEiBAgAABAgQIECBAgAABAu0LKCEBAgQIECCwmwIXXXRR+fCHPzwx9vqhD32o3O52t1tr5gXQl+S95JJLpqaQkzx1AysJECBAgMDqBKREgAABAgQIECBAgAABAgQItC+ghAQIECBA4KAFLrjggrWWXwB9rbwSJ0CAAAECBGYXsCUBAgRmE8iQxqPTbHuev9VoOnl//lZHS7Ju2nS01Wz/Tktn2rpxqU/aftltx+2fZZOON2159jtt6vaftN1p6/v7ddvO89rff9L8qtObdJxJy+c5fn/bSemNW97f77T5cfv3l03av79NN7+ubbv0R18nHW/a8tE0uvfj9unWjb7Os22377h9ZlnW7T/6Om7f0W28J0CAAAEC6xWQOgECBAgQ2G0BAfTdPj9yR4AAAQIECOyLgHwSIECAAAECBAgQIECAAAEC7QsoIQECBAg0LyCA3vwpVkACBAgQIECAwOkCtiBAgAABAgQIECBAgAABAgTaF1BCAgQIEDhdQAD9dCNbECBAgAABAgQI7LaA3BEgQIAAAQIECBAgQIAAAQLtCyghAQIENiIggL4RZgchQIAAAQIECBAgMEnAcgIE+gJnz54t3dRfbp4AAQIECBAgQIAAAQL7LSD3BAjsi4AA+r6cKfkkQIAAAQIECBAgsIsC8kSAAAECBAgQIECAAAECBAi0L6CEBA5IQAD9gE62ohIgQIAAAQIECBAgcFLAOwIECBAgQIAAAQIECBAgQKB9ASUkMI+AAPo8WrYlQIAAAQIECBAgQIDA7gg0lZNaa6n15NQN5Z7XpgqrMAQIECBAgAABAgQIECBAYHYBW25YQAB9w+AOR4AAAQIECBAgQIAAAQIRMBEgQIAAAQIECBAgQIAAAQLtC+xfCQXQ9++cyTEBAgQIECBAgAABAgQIbFvA8QkQIECAAAECBAgQIECAAIEmBU4E0JssoUIRIECAAAECBAgQIECAAAECJwS8IUCAAAECBAgQIECAAAECBMYLtBRAH19CSwkQIECAAAECBAgQIEBg5wXyO+ej085nWga3JeC4BAgQIECAAAECBAgQIEBgbQIC6GujnTdh2xMgQIAAAQIECBAgQIAAAQLtCyghAQIECBAgQIAAAQIECOyygAD6Lp+dfcqbvBIgQIAAAQIECBAgQIAAAQLtCyghAQIECBAgQIAAAQIEGhcQQG/8BCvebAK2IkCAAAECBAgQIECAAAECBNoXUEICBAgQIECAAAECBAicJiCAfpqQ9QR2X0AOCRAgQIAAAQIECBAgQIAAgfYFlJAAAQIECBAgQIAAgQ0ICKBvANkhCBCYJmAdAQIECBAgQIAAAQIECBAg0L6AEhIgQIAAAQIECBDYDwEB9P04T3JJgMCuCsgXAQIECBAgQIAAAQIECBAg0L6AEhIgQIAAAQIECByMgAD6wZxqBSVAgMD5ApYQIECAAAECBAgQIECAAAEC7QsoIQECBAgQIECAwOwCAuizW9mSAAECBHZLQG4IECBAgAABAgQIECBAgACB9gWUkAABAgQIECCwUQEB9I1yOxgBAgQIEOgEvBIgQIAAAQIECBAgQIAAAQLtCyghAQIECBAgsG8CAuj7dsbklwABAgQI7IKAPBAgQIAAAQIECBAgQIAAAQLtCyghAQIECBA4QAEB9AM86YpMgAABAgQOXUD5CRAgQIAAAQIECBAgQIAAgfYFlJAAAQIECCwiIIC+iJp9CBAgQIAAAQLbE3BkAgQIECBAgAABAgQIECBAoH0BJSRAgACBLQkIoG8J3mEJECBAgAABAocpoNQECBAgQIAAAQIECBAgQIBA+wJKSIAAgf0VEEDf33Mn5wQIECBAgAABApsWcDwCBAgQIECAAAECBAgQIECgfQElJEDgoAUE0A/69Cs8AQIECBAgQIDAIQkoKwECBAgQIECAAAECBAgQINC+gBISILCcgAD6cn72JkCAAAECBAgQIEBgMwKOQoAAAQIECBAgQIAAAQIECLQvoIQEti4ggL71UyADBAgQIECAAAECBAi0L6CEBAgQIECAAAECBAgQIECAQPsCStiCgAB6C2dRGQgQIECAAAECBAgQILBOAWkTIECAAAECBAgQIECAAAEC7Qso4VBAAH3I4B8CBAgQIECAAAECBAgQaFVAuQgQIECAAAECBAgQIECAAIH2BVZVQgH0JSVvuummqSnccMMNU9dbSYAAAQIECBAgQIAAAQIEpghYRYAAAQIECBAgQIAAAQIECPQEPvKRj/TerX52SwH01RdkWyl+6EMfKhdddFG5+OKLx04333xzybSt/DkuAQIECBAgQIAAAQIECBDYnoAjEyBAgAABAgQIECBAgACB2QXSefnCCy8cG3dNPDZx2Y997GPl7NmzZV3/CaAvItvb5/LLLy/pZZ4TNW665JJLyq1uhblHZpYAAQIECBAgQIAAAQIECOyHgFwSIECAAAECBAgQIECAwEYFLrjggnLjjTeWcXHXLEtc9na3u12pta4tXyK7a6Pd3YTljAABAgQIECBAgAABAgQIEGhfQAkJECBAgAABAgQIECBAYH4BAfT5zeyxXQFHJ0CAAAECBAgQIECAAAECBNoXUEICBAgQIECAAAECBAhsRUAAfSvsDnq4AkpOgAABAgQIECBAgAABAgQItC+ghAQIECBAgAABAgQI7KuAAPq+njn5JrANAcckQIAAAQIECBAgQIAAAQIE2hdQQgIECBAgQIAAAQIHLCCAfsAnX9EJHJqA8hIgQIAAAQIECBAgQIAAAQLtCyghAQIECBAgQIAAgWUEBNCX0bMvAQIENifgSAQIECBAgAABAgQIECBAgED7AkpIgAABAgQIECCwZQEB9C2fAIcnQIDAYQgoJQECBAgQIECAAAECBAgQINC+gBISIECAAAECBPZfQAB9/8+hEhAgQIDAugWkT4AAAQIECBAgQIAAAQIECLQvoIQECBAgQIAAgVsEBNBvQfA/AQIECBBoWUDZCBAgQIAAAQIECBAgQIAAgfYFlJAAAQIECBBYjYAA+mocpUKAAAECBAisR0CqBAgQIECAAAECBAgQIECAQPsCSkiAAAECBHZGQAB9Z06FjBAgQIAAAQLtCSgRAQIECBAgQIAAAQIECBAg0L6AEhIgQIBASwIC6C2dTWUhQIAAAQIECKxSQFoECBAgQIAAAQIECBAgQIBA+wJKSIAAAQInBATQT3B4Q4AAAQIECBAg0IqAchAgQIAAAQIECBAgQIAAAQLtCyghAQIEVi0ggL5qUekRIECAAAECBAgQWF5ACgQIECBAgAABAgQIECBAgED7AkpIgMAOCgig7+BJkSUCBAgQIECAAAEC+y0g9wQIECBAgAABAgQIECBAgED7AkpIoE0BAfQ2z6tSESBAgAABAgQIECCwqID9CBAgQIAAAQIECBAgQIAAgfYFlJDABAEB9AkwFhMgQIAAAQIECBAgQGAfBeSZAAECBAgQIECAAAECBAgQaF9ACdcnIIC+PlspEyBAgAABAgQIECBAgMB8ArYmQIAAAQIECBAgQIAAAQIE2hfY6RIKoO/06ZE5AgQIECBAgAABAgQIENgfATklQIAAAQIECBAgQIAAAQIE9l3g9AD6vpdQ/gkQIECAAAECBAgQIECAAIHTBWxBgAABAgQIECBAgAABAgQIlOYD6M4xAQIECBAgQIAAAQIECBAg0L6AEhIgQIAAAQIECBAgQIAAgVUICKCvQnF9aUiZAAECBAgQIECAAAECBAgQaF9ACQkQIECAAAECBAgQIEBgRwQE0HfkRLSZDaUiQIAAAQIECBAgQIAAAQIE2hdQQgIECBAgQIAAAQIECLQjIIDezrlUklULSI8AAQIECBAgQIAAAQIECBBoX0AJCRAgQIAAAQIECBAg0BMQQO9hmCXQkoCyECBAgAABAgQIECBAgAABAu0LKCEBAgQIECBAgAABAqsVEEBfrafUCBBYjYBUCBAgQIAAAQIECBAgQIAAgfYFlJAAAQIECBAgQIDAzgkIoO/cKZEhAgT2X0AJCBAgQIAAAQIECBAgQIAAgfYFlJAAAQIECBAgQKBFAQH0Fs+qMhEgQGAZAfsSIECAAAECBAgQIECAAAEC7QsoIQECBAgQIECAwFgBAfSxLBYSIECAwL4KyDcBAgQIECBAgAABAgQIECDQvoASEiBAgAABAgTWJSCAvi5Z6RIgQIAAgfkF7EGAAAECBAgQIECAAAECBAi0L6CEBAgQIECAwA4LCKDv8MmRNQIECBAgsF8CckuAAAECBAgQIECAAAECBAi0L6CEBAgQIECgbQEB9LbPr9IRIECAAAECswrYjgABAgQIECBAgAABAgQIEGhfQAkJECBAgMApAgLopwCdtvq9731vueKKKyZON9xww2lJWE+AAAECBAgQWFpAAgQIECBAgAABAgQIECBAgED7AkpIgACB1gU++MEPljvc4Q4TY6+Jy15zzTVrZRBAX5L3zne+c3nf+943cbrooouWPILdCRAgQIAAAQLNCyggAQIECBAgQIAAAQIECBAg0L6AEhIgQOBUgcsvv7xcd911E2Ovicve6U53OjWdZTYQQF9Gz74ECBAgQIAAAQIECgICBDO70lsAABAASURBVAgQIECAAAECBAgQIECgfQElJEDgUAQE0A/lTCsnAQIECBAgQIAAgXEClhEgQIAAAQIECBAgQIAAAQLtCyghAQIzCwigz0xlQwIECBAgQIAAAQIEdk1AfggQIECAAAECBAgQIECAAIH2BZSQwCYFBNA3qe1YBAgQIECAAAECBAgQOCdgjgABAgQIECBAgAABAgQIEGhfQAn3TEAAfc9OmOwSIECAAAECBAgQIEBgNwTkggABAgQIECBAgAABAgQIEGhf4PBKKIB+eOdciQkQIECAAAECBAgQIECAAAECBAgQIECAAAECBAgQINC+wAIlFEBfAM0uBAgQIECAAAECBAgQIEBgmwKOTYAAAQIECBAgQIAAAQIECKxHYJcC6OspoVQJECBAgAABAgQIECBAgACBXRKQFwIECBAgQIAAAQIECBAgsLMCAugrOzUSIkCAAAECBAgQIECAAAECBNoXUEICBAgQIECAAAECBAgQaFlAAL3lsztP2WxLgAABAgQIECBAgAABAgQItC+ghAQIECBAgAABAgQIECAwVUAAfSqPlfsiIJ8ECBAgQIAAAQIECBAgQIBA+wJKSIAAAQIECBAgQIAAgXULCKCvW1j6BE4XsAUBAgQIECBAgAABAgQIECDQvoASEiBAgAABAgQIECCwBwIC6HtwkmSRwG4LyB0BAgQIECBAgAABAgQIECDQvoASEiBAgAABAgQIEDgMAQH0wzjPSkmAwCQBywkQIECAAAECBAgQIECAAIH2BZSQAAECBAgQIECAwIwCAugzQtmMAAECuyggTwQIECBAgAABAgQIECBAgED7AkpIgAABAgQIECCwOQEB9M1ZOxIBAgQInBTwjgABAgQIECBAgAABAgQIEGhfQAkJECBAgAABAnslIIC+V6dLZgkQIEBgdwTkhAABAgQIECBAgAABAgQIEGhfQAkJECBAgACBQxMQQD+0M668BAgQIEAgAiYCBAgQIECAAAECBAgQIECgfQElJECAAAECBOYWEECfm8wOBAgQIECAwLYFHJ8AAQIECBAgQIAAAQIECBBoX0AJCRAgQIDANgQE0Leh7pgECBAgQIDAIQsoOwECBAgQIECAAAECBAgQINC+gBISIECAwJ4KCKDv6YmTbQIECBAgQIDAdgQclQABAgQIECBAgAABAgQIEGhfQAkJECBwuAIC6Id77pWcAAECBAgQIHB4AkpMgAABAgQIECBAgAABAgQItC+ghAQIEFhCQAB9CTy7EiBAgAABAgQIENikgGMRIECAAAECBAgQIECAAAEC7QsoIQEC2xUQQN+uv6MTIECAAAECBAgQOBQB5SRAgAABAgQIECBAgAABAgTaF1BCAnsvIIC+96dQAQgQIECAAAECBAgQWL+AIxAgQIAAAQIECBAgQIAAAQLtCyghgVIE0H0KCBAgQIAAAQIECBAg0LqA8hEgQIAAAQIECBAgQIAAAQLtCyjhSgQE0FfCKBECBAgQIECAAAECBAgQWJeAdAkQIECAAAECBAgQIECAAIH2BXalhALou3Im5IMAAQIECBAgQIAAAQIEWhRQJgIECBAgQIAAAQIECBAgQGCPBBYMoO9RCWWVAAECBAgQIECAAAECBAgQWFDAbgQIECBAgAABAgQIECBA4LAEDjOAfljnWGkJECBAgAABAgQIECBAgMBhCig1AQIECBAgQIAAAQIECBCYU0AAfU6wXdhcHggQIECAAAECBAgQIECAAIH2BZSQAAECBAgQIECAAAECBDYvIIC+efNDP6LyEyBAgAABAgQIECBAgAABAu0LKCEBAgQIECBAgAABAgT2UkAAfcnT9p73vKfc8Y53nDh97GMfW/IIdt8tAbkhQIAAAQIECBAgQIAAAQIE2hdQQgIECBAgQIAAAQIEtiFw4403lssvv3xi7PX2t799+Yu/+Iu1Zk0AfUneu9zlLuXaa6+dOF188cVLHsHuBFYoICkCBAgQIECAAAECBAgQIECgfQElJECAAAECBAgQILCnAhdeeGH54Ac/ODH2+pd/+ZfD4Po6iyeAvk5daRMgsFIBiREgQIAAAQIECBAgQIAAAQLtCyghAQIECBAgQIAAgWkCF1xwwbTVS68TQF+aUAIECBCYScBGBAgQIECAAAECBAgQIECAQPsCSkiAAAECBAgQILDnAgLoe34CZZ8AAQKbEXAUAgQIECBAgAABAgQIECBAoH0BJSRAgAABAgQIEBBA9xkgQIAAgfYFlJAAAQIECBAgQIAAAQIECBBoX0AJCRAgQIAAAQIrEBBAXwGiJAgQIECAwDoFpE2AAAECBAgQIECAAAECBAi0L6CEBAgQIECAwG4ICKDvxnmQCwIECBAg0KqAchEgQIAAAQIECBAgQIAAAQLtCyghAQIECBBoRkAAvZlTqSAECBAgQIDA6gWkSIAAAQIECBAgQIAAAQIECLQvoIQECBAgQOCcgAD6OQtzBAgQIECAAIG2BJSGAAECBAgQIECAAAECBAgQaF9ACQkQIEBgpQIC6CvllBgBAgQIECBAgMCqBKRDgAABAgQIECBAgAABAgQItC+ghAQIENg1AQH0XTsj8kOAAAECBAgQINCCgDIQIECAAAECBAgQIECAAAEC7QsoIQECDQoIoDd4UhWJAAEC2xSotZZaJ0+L5q3Wc2kumka3X63n0qp1+ny3T/+11un71Fr7m4+dr7WuxWncwWpd/li1Lp/GuLxZRoDArgrIFwECBAgQIECAAAECBAgQINC+gBISIDBOQAB9nIplBAgQIECAAAECBAjsr4CcEyBAgAABAgQIECBAgAABAu0LKCGBNQkIoK8JVrIECBAgQIAAAQIECBBYRMA+BAgQIECAAAECBAgQIECAQPsCSri7AgLou3tu5IwAAQIECBAgQIAAAQL7JiC/BAgQIECAAAECBAgQIECAQPsCTZdQAL3p06twBAgQ2IxArbXUejSdPXu2TJtqPdqu1npq5mqtx+meuvGCG0zLa9b1k631KD9ZftpU69G24/avtU41Stq1Hu1fa+0nMdd8rXXol/SmTbUebVdrPZF+rXW4f62bye+Jg3tDgAABAgS2IuCgBAgQIECAAAECBAgQIECAQPsC00sogD7dx1oCBAgQIECAAAECBAgQILAfAnJJgAABAgQIECBAgAABAgQILC2w8wH0pUsoAQIECBAgQIAAAQIECBAgQGDnBWSQAAECBAgQIECAAAECBAjsgoAA+nrPgtQJECBwEAL94cGXLXCt44cN39V0l82X/QkQIECAAAECBJoQUAgCBAgQIECAAAECBAgQaERAAL2RE7meYkiVAAECBAgQIECAAAECBAgQaF9ACQkQIECAAAECBAgQIECgExBA7yS8tiegRAQIECBAgAABAgQIECBAgED7AkpIgAABAgQIECBAgACBFQoIoK8QU1IEVikgLQIECBAgQIAAAQIECBAgQKB9ASUkQIAAAQIECBAgQGC3BATQd+t8yA2BVgSUg8BOC9RaS62Tp53OvMwRIECAAAECBAgQIEBgdwTkhAABAgQIECBAgEBzAgLozZ1SBSJAYHkBKRAgQIAAAQIECBAgQIAAAQLtCyghAQIECBAgQIAAgfMFBNDPN7GEAAEC+y0g9wQIECBAgAABAgQIECBAgED7AkpIgAABAgQIECCwFgEB9LWwSpQAAQIEFhWwHwECBAgQIECAAAECBAgQINC+gBISIECAAAECBHZVQAB9V8+MfBEgQKAhgVrP/d742bNnSzf1i1jr0Tbdurz21y87n/RmnWo9ykutdd7D2n4FArXWUuty0zOe8YxiYuAz4DPgM+Az4DPgM+Az4DPgM9DmZ2AFXzskQWBZAfsTIECAAAECDQsIoDd8chWNAAECBAjMJ2BrAgQIECBAgAABAgQIECBAoH0BJSRAgAABAgSmCQigT9OxjgABAgQIENgfATklQIAAAQIECBAgQIAAAQIE2hdQQgIECBAgsGYBAfQ1A0ueAAEChyxQ69Ew3P2h00/zqPVon1pPvvb3q/VoXX+Z+XYE+p+XcfP9kl599dXl6jHTmTNnypk9m+T3jHPmM+sz4DPgM+Az4DPgMzD8DAwGgzLYwnTmzJnh8c943UmH/vcA8wQIENhnAXknQIAAgd0XEEDf/XMkhwQIECBAgACBXReQPwIECBAgQIAAAQIECBAgQKB9ASUkQIDAQQgIoB/EaVZIAgQIECBAgACByQLWECBAgAABAgQIECBAgAABAu0LKCEBAgRmExBAn83JVgQIECBAgAABAgR2U0CuCBAgQIAAAQIECBAgQIAAgfYFlJAAgY0JCKAvQX327Nly/fXXlwsvvLDc+ta3Pm/K8g9/+MMl2y1xGLsSIEBgrwRqraXWoynXv0yzFCDbTZv6aXTb9ZedNl/rUZ5qradtaj0BAgQIbFDAoQgQIECAwGSBs7esWvd0yyH8T4AAAQIECBAgsHYBByAwq8DNN99cLrjggvPirl0sNvHXv/qrv5o1uYW2E0BfiO1op1prudWtblVuvPHG8olPfOK8KctzgmutxX8ECBAgQIAAAQIECDQnoEAECBAgQIAAAQIECBAgQIBA+wJKuEGBxF5vuumm8+KuXSw28deLL754rTkSQF+S99JLL52awiWXXDJ1vZUECBAgQIAAAQIECBDYjoCjEiBAgAABAgQIECBAgAABAu0LtFfCdGBeZ6kE0NepK20CBAgciECt9XjY9n6Raz23vNbz5/vbrnK+1nPH6tLthn3Pa63n1td6/ny26aZu/7x2y2o9f59aTy7rts1+3dQty2utJ7ev9eT7bNNN3f6TXms9t29/m27/Ws+tr/X8+W67vI7bP8trPX+/Ws8tyzbd1E/DPAECBAgQWJuAhAkQIECAAAECBAgQIECAAIH2BbZQQgH0LaA7JAECBAgQIECAAAECBAgctoDSEyBAgAABAgQIECBAgAABArspsMoA+m6WUK4IECBAgAABAgQIECBAgACBVQpIiwABAgQIECBAgAABAgQINCsggH58as0QIECAAAECBAgQIECAAAEC7QsoIQECBAgQIECAAAECBAgQmCwggD7ZZr/WyC0BAgS2KHD27NmyyDRPlvvpn7bfadv214+bnyf9cftn2bJpnLb/POuTn2nTLGlN2z/rZknDNgQIECBAgAABAisQkAQBAgQIECBAgAABAgQIrFVAAH2tvBKfVcB2BAgQIECAAAECBAgQIECAQPsCSkiAAAECBAgQIECAAIFdFxBA3/UzJH/7ICCPBAgQIECAAAECBAgQIECAQPsCSkiAAAECBAgQIECAwAEICKAfwElWRALTBawlQIAAAQIECBAgQIAAAQIE2hdQQgIECBAgQIAAAQIEZhEQQJ9FyTYECOyugJwRIECAAAECBAgQIECAAIE9EDhz5kw5s+VpD5gmZ9EaAgQIECBAgAABAhsSEEDfELTDECBAYJyAZQRUl6fTAAAQAElEQVQIECBAgAABAgQIECBAgED7AkpIgAABAgQIECCwPwIC6PtzruSUAAECuyYgPwQIECBAgAABAgQIECBAgED7AkpIgAABAgQIEDgoAQH0gzrdCkuAAAEC5wTamTt79mzppnZKpSQECBAgQIDALglsa9jpXTKQFwKrFBgMShkMShkMShkMShkMShkMShkMShkMShkMShkMShkMShkMShkMShkMShkMShkMShkMShkMShkMShkMShkMShkMShkMShkMShkMShkMShkMShkMVplzaRHYRwF5JkCAAAECBAjMJyCAPp+XrQkQIECAwG4IyAUBAgQIECBAgAABAgQIECDQvoASEiBAgAABAhsXEEDfOLkDEiBAgAABAgQIECBAgAABAgQIECBAgACB9gWUkAABAgQI7KOAAPo+njV5JkCAAAECBLYp4NgECBAgQIAAAQIECBAgQIBA+wJKSIAAAQIHKiCAfqAnXrEJECBAgACBQxVQbgIECBAgsIzA2Vt2Xvd0yyH8T4AAAQIECBAgsKSA3QkQIEBgUQEB9EXl7EeAAAECBAgQILB5AUckQIAAAQIECBAgQIAAAQIE2hdQQgIECGxRQAB9i/gOTYAAAQIECBAgcFgCSkuAAAECBAgQIECAAAECBAi0L6CEBAjst4AA+n6fP7knQIAAAQIECBAgsCkBxyFAgAABAgQIECBAgAABAgTaF1BCAgcvIIB+8B8BAAQIECBAgAABAgQOQUAZCRAgQIAAAQIECBAgQIAAgfYFlJDA8gIC6MsbSoEAAQIECBAgQIAAAQLrFZA6AQIECBAgQIAAAQIECBAg0L6AEu6EgAD6TpwGmSBAgAABAgQIECBAgEC7AkpGgAABAgQIECBAgAABAgQItC/QSgkF0Fs5k8pBgAABAgQIECBAgAABAusQkCYBAgQIECBAgAABAgQIECDQvsBxCQXQjynMECBAgAABAgQIECBAgACB1gSUhwABAgQIECBAgAABAgQIEJhHYD8D6POU0LYECBAgQIAAAQIECBAgQIDAfgrINQECBAgQIECAAAECBAgQ2LCAAPqGwXM4EwECBAgQIECAAAECBAgQINC+gBISIECAAAECBAgQIECAwP4JCKDv3znbdo4dnwABAgQIECBAgAABAgQIEGhfQAkJECBAgAABAgQIECBwkAIC6Ad52g+50MpOgAABAgQIECBAgAABAgQItC+ghAQIECBAgAABAgQIEFhMQAB9MTd7EdiOgKMSIECAAAECBAgQIECAAAEC7QsoIQECBAgQIECAAAECWxMQQN8avQMTODwBJSZAgAABAgQIECBAgMA+CJw5c6ac2cK0DzbySGAWAdsQIECAAAECBAgQ2GcBAfR9PnvyToDAJgUciwABAgQIECBAgAABAgQIEGhfQAkJECBAgAABAgQOXEAAfckPwE033TQ1hdPWT93ZSgIECKxMQEIECBAgQIAAAQIECBAgQIBA+wJKSIAAAQIECBAgsKyAAPqSgtddd1257LLLyu1ud7ux08c//vEiiL4kst0JECBAgAABAgQIECBAgAABAgQIEGhfQAkJECBAgACBgxe4/vrryyWXXDI27trFY6+99tqyzv8E0JfUveKKK0pO5Ac+8IEybsoJvuCCC5Y8it0JECBAYJ8F5J0AAQIECKxT4MyZM+XMlqd1lk/aBLYtMBiUMhiUMhiUMhiUMhiUMhiUMhiUMhiUMhiUMhiUMhiUMhiUMhiUMhiUMhiUMhiUMhiUMhiUMhiUMhiUMhiUMhiUMhiUMhhsu3SOT4AAAQKrFJAWAQIECBAgsLxAOi5/9KMfHRt37WKxd7zjHZc/0JQUBNCn4FhFgAABAgQIFAQECBAgQIAAgf/P3t3oyFKcZwCul4MFR4otQIlsy0quZS+tLo1rSeQ4DlGMHCcYG5hsn6ZP9+707PzPdNc8aIuuqf/vqQFnzxdmCBAgQIAAAQIECBAgQIAAgYcReOAE+sPcsUAJECBAgAABAgQIECBAgMADCwidAAECBAgQIECAAAECBAgcLiCBfrjVskY6DQECBAgQIECAAAECBLYENs8ttyrPW/khQOD6AnYgQIAAAQIECBAgQIAAgZsKSKDflNtmg4AnAQIECBAgQIAAAQIECBAg0L6ACAkQIECAAAECBAgQILA2AQn0td2Y8y5BwBkIECBAgAABAgQIECBAgACB9gVESIAAAQIECBAgQIDAAwpIoD/gpQv50QXET4AAAQIECBAgQIAAAQIECLQvIEICBAgQIECAAAECBE4RkEA/Rc0cAgTuJ2BnAgQIECBAgAABAgQIECBAoH0BERIgQIAAAQIECBC4k4AE+p3gbUuAwGMKiJoAAQIECBAgQIAAAQIECBBoX0CEBAgQIECAAAEC6xWQQF/v3Tk5AQIEbi1gPwIECBAgQIAAAQIECBAgQKB9ARESIECAAAECBB5aQAL9oa9f8AQIEHgkAbESIECAAAECBAgQIECAAAEC7QuIkAABAgQIECBwnoAE+nl+ZhMgQOBsgSQl6cuwWNK/Tl4+h37PBxQQMgECBAgQIECAAAECBAgQINC+gAgJECBAgACBuwtIoN/9ChyAAAECBAi0LyBCAgQIECBAgAABAgQIECBAoH0BERIgQIAAgRYEJNBbuEUxECBAgAABAtcUsDYBAgQIECBAgAABAgQIECDQvoAICRAgQIDABwEJ9A8M/kaAAIHbCiTjR7Mfs3Ny2rxj9jCWAIHWBMRDgACBNgSenp7K0x1KG3qiIECAAAECBAgQaF9AhAQIECBwKQEJ9EtJWocAAQIECBAgQODyAlYkQIAAAQIECBAgQIAAAQIE2hcQIQECBBYkIIG+oMtwFAIECBAgQIAAgbYEREOAAAECBAgQIECAAAECBAi0LyBCAgTaEpBAb+s+RUOAAAECBAgQIEDgUgLWIUCAAAECBAgQIECAAAECBNoXECEBAq8EJNBfgXhJgACBWwtsNpsylCQlyYsjDH3d80WHFwQIECCwCoF7fGdzt+cqcK56SIu3KlBrKbWWUmsptZZSaym1llJrKbWWUmsptZZSaym1llJrKbWWUmsptZZSaym1llJrKbWWUmsptZZSaym1llJrq3LiIkCAAIFTBJJ8+D098UwYJAwSBkl7Bqf8+9EcAssRcBIClxeQQL+8qRUJECBAgAABAgQIECBwnoDZBAgQIECAAAECBAgQIECAQPsCIlykgAT6Iq/FoQgQIECAAAECBAgQILBeAScnQIAAAQIECBAgQIAAAQIE2hdoNUIJ9FZvVlwECBAgQIAAAQIECBAgcIqAOQQIECBAgAABAgQIECBAgED7AjsjlEDfSaODAAECBE4RSN7+HqhT1uzmJOO63etzSjKulWzX962dbM9JXradu8a++cf0Jy/Plrx8fchaycs5ycvXh6xhDAECncDm+W/XLM/L+yFA4MEFhE+AAAEC1xLYbDZFYeA94D3QynvgWv+utC4BAgRaEFhHAr0FaTEQIECAAAECBAgQIECAAAECbwvoJUCAAAECBAgQIECAAAECdxaQQL/BBdiCAAECBAgQIECAAAECBAgQaF9AhAQIECBAgAABAgQIECCwfgEJ9PXf4bUjsD4BAlcWSMaPwh62mn4UVLLdP4xbyjMZzzg9+1w9GcfuO39y+Nhj1po717Qtmd836dunY3fVk37s9FxJ35Zk78f+JePY6RrH1JN+jV1nHNqTflySF8snKUlfhrG7nkk/LsmLNbwgQIAAAQIECBBYjYCDEiBAgAABAgQIECBAgMCzgAT6M4KflgXERoAAAQIECBAgQIAAAQIECLQvIEICBAgQIECAAAECBAhcRkAC/TKOViFwHQGrEiBAgAABAgQIECBAgAABAu0LiJAAAQIECBAgQIAAgcUISKAv5iochEB7AiIiQIAAAQIECBAgQIAAAQIE2hcQIQECBAgQIECAAIGWBCTQW7pNsRAgcEmBq6612WzKUI7ZaJjTPY+Zd+2x3XmGcu5eSUrSl2HN7nnuuuYTIECAAAECBAgQIECAAIEZAU0ECBAgQIAAAQIEXghIoL/g8IIAAQKtCIiDAAECBAgQIECAAAECBAgQaF9AhAQIECBAgAABApcWkEC/tKj1CBAgQOB8ASsQIECAAAECBAgQIECAAAEC7QuIkAABAgQIECCwQAEJ9AVeiiMRIPBYAt3Hk78uU4Fp37RdfbkCTkaAAIFHE3h6eipPdyiP5ixeAgQIECBAgACBZQk4DQECBAgQINCmgAT6mff6r//6r+W3v/3tzvLdd9+duYPpBAgQIEDgpgI2I0CAAAECBAgQIECAAAECBNoXECEBAgQIEFikwP/8z/+UL774YmfutcvL/v73v7/q2SXQz+T9l3/5l/KHP/xhZ3n//v2ZO5hOgAABAgQIHC5gJAECBAgQIECAAAECBAgQINC+gAgJECBAoFWBX/7yl+Xbb7/dmXvt8rK/+93vrhq+BPpVeS1OgAABAgQIEDhCwFACBAgQIECAAAECBAgQIECgfQEREiBAgMCiBSTQF309DkeAwCMIJCnJYWWtHskY32azKUOZxpP0Y4a+7jntV38cgaR/LyTzz6nEru9cno55q75r/i3a3zrXWvucm0AnUGsptZZSaym1llJrKbWWUmsptZZSaym1llJrKbWWUmsptZZSaym1llJrKbWWUmsptZZSaym1llJrKbWWUmu3i0KAAAECBAgQIEBg3QJJ/zvvuqNw+kcVEDcBAgRaF5BAb/2GxUeAAAECBAgQIHCIgDEECBAgQIAAAQIECBAgQIBA+wIiJECAwF4BCfS9RAYQIECAAAECBAgQWLqA8xEgQIAAAQIECBAgQIAAAQLtC4iQAIFbCEig30LZHgQIECBAgAABAgQI7BbQQ4AAAQIECBAgQIAAAQIECLQvIEICKxGQQF/JRTkmAQJtCST991wlOSqwJCXpy1ET7zQ46c+62WzKUPYdJennJC+f03lJ3zdtU29HYHiv7HpOI/3666/L1zNlOubw+uZ56LXL8xZ+CBBoTkBABAgQIECAAIFbCyT978VJTt46yVX+jCHp1z35YDeYmPRnTHLSbklOskvGecPvvCcd4IBJybjXAcMNIUCAAIEDBAx5HAEJ9Me5a5ESIECAAAECBAgQIEDgtYDXBAgQIECAAAECBAgQIECAQPsCIjxCQAL9CCxDCRAgQIAAAQIECBAgQGBJAs5CgAABAgQIECBAgAABAgQItC9w2wgl0G/rbTcCBAhsCQwf2XXIc2vyAhuS8SPChpgOOeYwdtdzusYwZtqmToAAAQIECBBYnYADEyBAgEBTAsn4+3ByXr0pmIUHk/R3te+YST8uyb6hO/uHP8/onjsHXaij22MoF1rSMgQIECBA4GEELp5Afxg5gRIgQIAAAQIECBAgQIAAgQcWEDoBAgQIECBAgAABAgQIEGhRQAL95a16RYAAAQIECBAgsEbldQAAEABJREFUQIAAAQIECLQvIEICBAgQIECAAAECBAgQIDArIIE+y7LWRucmQIAAAQIECBAgQIAAAQIE2hcQIQECBAgQIECAAAECBAhcS0AC/Vqy1j1ewAwCBFYrkKQkfZkGkfRtyfxzOvaS9WTcb1h3+N6v7pmM/cl2vRszlGF+9xzaku05ycu2YWw3byhDW/dMXo5PXr7uxgxlmL/rmYxzp2OG+cnYn2zXh3Hdc25+155sz0vGtm7MUKZrqBMgQIAAAQIECBDYEtBA4CEENs9RHluepxz4M/z+1T2T8XezfdOTcWw3dyhz85JxbLJdn5tzSFuyvVYytu1aI+nHTPuTvi3JtHlR9SQf/8wk2a7vOmwyjt01ZmhPtscm223d+GS7Pdlu68YOJXm7fxjXPZNxbDJf78YpBAgQIEBgyQIS6Eu+HWdblYDDEiBAgAABAgQIECBAgAABAu0LiJAAAQIECBAgQIAAgbYFJNDbvl/REThUwDgCBAgQIECAAAECBAgQIECgfQEREiBAgAABAgQIECCwR0ACfQ+QbgIE1iCw7jMm8x9nlWy3LzXS4SPfjn0eE8907X3z9o2d9s/Vj1l/bn7Xdu4a++Yf09+d561yyFpvze/6DlnDGAIECBAgQIAAAQIECJwnYPa1BZLxzyK63/XeKsk4dt+5knHsW2t2fck4dm7dZOzvxg9lbuwhbcP8ZFx3Oi/p24dx3XPaP1dP+jlJSjf+rZKMY6drTeck/Zhpf9K3JS/3mI7ZV0/6Neb2Svq+5OX6ydg+XT/p26dr7aon/djpfHUCBAgQILAkAQn0Jd2GsxAg8JgCoiZAgAABAgQIECBAgAABAgTaFxAhAQIECBAgQIDAKgQk0FdxTQ5JgACB5Qo4GQECBAgQIECAAAECBAgQINC+gAgJECBAgAABAo8iIIH+KDctTgIECBCYE9BGgAABAgQIECBAgAABAgQItC8gQgIECBAgQIDAwQIS6AdTGUiAAIHLCUy/A+qYVU+dd8wexq5JwFkJ7BZ4enoqT3cou0+khwABAgQIECBAgACBawhM/6wg6b9bOsnHrZKUpC/TsR8HTCrT/qSfk8w/J9NuWp2e8aYbH7HZ9IzJvF/Stx+y7GazKd2aST8nyYfXXVtXDlljbkw3tytzfV1b19eVrq4QIECAAIFHEpBAf6TbFisBAgQIEFiSgLMQIECAAAECBAgQIECAAAEC7QuIkAABAgQIrExAAn1lF+a4BAgQIECAwDIEnIIAAQIECBAgQIAAAQIECBBoX0CEBAgQIPB4AhLoj3fnIiZAgAABAgQIECBAgAABAgQIECBAgAABAgTaFxAhAQIECJwgIIF+ApopBAgQuKRA911Sh5ZL7mutdgSm7592ohLJJQVqLaXWUmotpdZSai2l1lJqLaXWUmotpdZSai2l1lJqLaXWUmotpdZSai2l1lJqLaXWUmotpdZSai2l1lJqveRpD1nLGAIECBAgQIAAAQIEriGQzH/H9vT3zqF+jf1bWTPh2MpdiuPeAvYnQIDAfQQk0O/jblcCBAgQIECAAIFHFRA3AQIECBAgQIAAAQIECBAg0L6ACAkQWK2ABPpqr87BCRAgQIAAAQIECNxewI4ECBAgQIAAAQIECBAgQIBA+wIiJPDIAhLoj3z7YidA4CYCSf+xXdPNkr4tOf05XU+dAAECBAgQOEjAIAIECBAgQIBA0wLDx6t3z6T/M4euPpRzg0/6NZOcu9Ti5g9G3TNJSfrSve7KpQ+c9Osfsm7Sj+3OMZSkb0tyyBLGECBA4NEExEvgLAEJ9LP4TCZAgAABAgQIECBAgMCtBOxDgAABAgQIECBAgAABAgQItC8gwnsLSKDf+wbsT4AAAQIECBAgQIAAgUcQECMBAgQIECBAgAABAgQIECDQvkADEUqgN3CJQiBAgAABAgQIECBAgACB6wpYnQABAgQIECBAgAABAgQIEGhfoItQAr1TUAgQIECAAAECBAgQIECAQLsCIiNAgACBmwvkecdjy/OUO/9sNpsylCQleVmGvu55zFG78UNJXq6ZvHw9jOuex+yxpLHd2YeSvIwv6V8P/bvOnfTjkny8k+nYYX73TMax0zG3rHfn6EoyniWZr3fjunLL89mLAAECBAgcI7DiBPoxYRpLgAABAgQIECBAgAABAgQIrFPAqQkQIECAAAECBAgQIECAwO0EJNDPsP7pp5/Kf/7nf5YvvvhiZ/nuu+/K3//+9+1dtBAgQIAAAQIECBAgQIAAAQLtC4iQAAECBAgQIECAAAECBA4W+P7778s//MM/7My9/upXvyrffPPNweudMlAC/RS1n+d88skn5Ze//GX59ttvd5ZuzC9+8YufZ7TzEAkBAocLdB9J1ZXpjO71uWW6njoBAgQIECBAgAABAgSuIWBNAgQOFzj39/zp/MN33T1yWG/3iLd7hvnT53TGvvbp2Gl9Om+uPh07rQ9jp22n1oe1uufcGl37UE7pn84Z1nn9HMZM24e27rmrvet7XebGzrV183a1d31duWT/dK1pvdtHIUCAAAECuwQ+++yz8pe//GVn7vXPf/5z+eqrr3ZNv0i7BPqZjO/fv39zhe6S3xyg8x4C9iRAgAABAgQIECBAgAABAgTaFxAhAQIECBAgQIAAAQINCrx79+6qUUmgX5XX4gSuIWBNAgQIECBAgAABAgQIECBAoH0BERIgQIAAAQIECBAgcA8BCfR7qNuTwCMLiJ0AAQIECBAgQIAAAQIECBBoX0CEBAgQIECAAAECBFYqIIG+0otzbAIE7iNwqV2TlKQvl1rTOgQIECBAgAABAgQIECBAgMBlBKxCgAABAgQIECDwuAIS6I979yInQODxBERMgAABAgQIECBAgAABAgQItC8gQgIECBAgQIAAgTMEJNDPwDOVAAECBG4pYC8CBAgQIECAAAECBAgQIECgfQEREiBAgAABAgTuKyCBfl9/uxMgQIDAowiIkwABAgQIECBAgAABAgQIEGhfQIQECBAgQIDA6gUk0Fd/hQIgQIAAAQLXF7ADAQIECBAgQIAAAQIECBAg0L6ACAkQIECAAIFSJNC9CwgQIECAAIHWBcRHgAABAgQIECBAgAABAgQItC8gQgIECBAgcBEBCfSLMFqEAAECBAgQIHAtAesSIECAAAECBAgQIECAAAEC7QuIkAABAgSWIiCBvpSbcA4CBB5WIElJji8PCyZwAgTWJeC0BAgQIECAAAECBAgQIECAQPsCIiRAgEBDAhLoDV2mUAgQIECAAAECBC4rYDUCBAgQIECAAAECBAgQIECgfQEREiBAYCoggT7VUCdAgAABAgQIECDQjoBICBAgQIAAAQIECBAgQIAAgfYFREiAwIUFJNAvDGo5AgQIECBAgAABAgQuIWANAgQIECBAgAABAgQIECBAoH0BERJYnoAE+vLuxIkIECBAgAABAgQIEFi7gPMTIECAAAECBAgQIECAAAEC7QuIsEkBCfQmr1VQBAgQIECAAAECBAgQOF3ATAIECBAgQIAAAQIECBAgQKB9ARHOC0igz7toJUCAAAECBAgQIECAAIF1Cjg1AQIECBAgQIAAAQIECBAg0L7A1SKUQL8arYUJECCwW2Cz2ZRzy+7V9RAgQIAAAQIECKxXwMkJECBAgAABAgQIECBAgACBewrcJoF+zwjtTYAAAQIECBAgQIAAAQIECNxGwC4ECBAgQIAAAQIECBAgQGDlAhLoB1ygIQQIECBAgAABAgQIECBAgED7AiIkQIAAAQIECBAgQIAAAQIS6O2/B0RIgAABAgQIECBAgAABAgQItC8gQgIECBAgQIAAAQIECBC4gIAE+gUQLXFNAWsTaF8gSUmOL+3LiJAAAQIECBAgQIAAgccRECkBAgQIECBAgAABAgSWISCBvox7cIpWBcRFgAABAgQIECBAgAABAgQItC8gQgIECBAgQIAAAQIEmhGQQG/mKgVC4PICViRAgAABAgQIECBAgAABAgTaFxAhAQIECBAgQIAAAQKjgAT6aKFGgEBbAqIhQIAAAQIECBAgQIAAAQIE2hcQIQECBAgQIECAAIGLCkigX5TTYgQIEOgFkvE7zfuWl39P3u4v5eV4rwgQIECAAAECBAgQIECAAIEWBcREgAABAgQIECCwNAEJ9KXdiPMQIECgBQExECBAgAABAgQIECBAgAABAu0LiJAAAQIECBAg0KCABHqDlyokAgQIEDhPwGwCBAgQIECAAAECBAgQIECgfQEREiBAgAABAgTmBCTQ51S0ESBA4IICSf9x7buW3Gw2ZSjDmOH16+fQ70ngDQFdBAgQIECAAAECBAgQIECAQPsCIiRAgAABAgSuJCCBfiVYyxIgQIAAAQKnCJhDgAABAgQIECBAgAABAgQItC8gQgIECBAgsFwBCfTl3o2TESBAgAABAmsTcF4CBAgQIECAAAECBAgQIECgfQEREiBAgEDTAhLoTV+v4AgQIECAAAEChwsYSYAAAQIECBAgQIAAAQIECLQvIEICBAgQeFtAAv1tn729P/7445tjvv/++zf7dRIg0KbAZrMpQzklwiQl2S6nrGUOAQIEHkRAmAQIECBAgAABAgQIECBAgED7AiIkQIBA+b//+7+rKkign8n75z//uXz22Wfl888/ny0//fRT6cqZ25hOgAABAgQIECDQtIDgCBAgQIAAAQIECBAgQIAAgfYFREiAwD6B7j9e/vTTT2fzrl0+tsvL/vWvf/3wHzGWK/0lgX4m7Jdfflm6/8q8u6i58v79+/LJJ5jPZDadAAECBAgQIEBgyQLORoAAAQIECBAgQIAAAQIECLQvIEICNxB49+5d+eGHH8pc3rVr6/KyX3311YdP8b3WcWR2ryVrXQIECBAgQIAAAQIEViHgkAQIECBAgAABAgQIECBAgED7AiIkcKiABPqhUsYRIEDgRIHNZrP1USJDW/dM8uH/UyrJh3Fd266tur6h7Bpz7/ZkjCfZru87X7I9J3nZtm+Nff3Jy/WS3a/n1kp2j0/6vrl507akH5fMP6djz60n83skffsh6yf92GT+ecgaxhAgQIDAVQQsSoAAAQIECBAgQIAAAQIECLQvIMIbCkig3xDbVgQIECBAgAABAgQIECAwFVAnQIAAAQIECBAgQIAAAQIE2hdYV4QS6Ou6L6clQIAAAQIECBAgQIAAgaUIOAcBAgQIECBAgAABAgQIECDQnMBWAr25CAVEgACBhQsMH8nePYejdvW5MvQv7ZmMH+s9d+5pWzKOncaR9O3TsbvqST92Ov/U+q49hvbpukm/79D31jPpx87NT8aP69+1RtLPTzJd4qh6kg9fD7Brj6E96cclebF+kg/zk9uc98XmXhAgQIAAAQJXF7ABAQIECBAgcH2BZPzd+vq72YEAAQIECBC4hEBrCfRLmFiDAAECBAgQIECAAAECBAgQWLaA0xEgQIAAAQIECBAgQIAAgXL1vjwAABAASURBVKsISKBfhfXURc0jQIAAAQIECBAgQIAAAQIE2hcQIQECBAgQIECAAAECBAgsVUACfak3s8ZzOTMBAgQIECBAgAABAgQIECDQvoAICRAgQIAAAQIECBAg0LCABHrDlyu04wSMJnAtgaT/rqvp+knflpz+nK537/pmsylDOfUs587ft28yWg97dc998/QTIECAAAECBAgQINCWgGgItCCQjL/jnhpPcv4ac3sn/bpzfUtpS/ozJjnpSElK0pe5BZK+L8nHPy+5xJ9BJOO6c/tqI0CAAAECBC4jIIF+GUerELi3gP0JECBAgAABAgQIECBAgACB9gVESIAAAQIECBAgQIDAlQUk0K8MbHkCBA4RMIYAAQIECBAgQIAAAQIECBBoX0CEBAgQIECAAAECBJYvIIG+/DtyQgIEli7gfFcTSMaPJkvGevexZ105deNkXCvZrp+6rnkECBAgQIAAAQIECBAg0LDAntCS7d8vk9Pa9myl+4ICSX9H+5ZM+nFJ9g296Me2Tzfr/ixkKNN2dQIECBAgQOCyAhLol/W0GgECBFYn4MAECBAgQIAAAQIECBAgQIBA+wIiJECAAAECBAgQOExAAv0wJ6MIECBAYJkCTkWAAAECBAgQIECAAAECBAi0LyBCAgQIECBAgMDNBCTQb0ZtIwIECBAg8FrAawIECBAgQIAAAQIECBAgQKB9ARESIECAAAECaxKQQF/TbTkrAQKrFJj7bqqh7ZznmjCSlKQv05j3xTAdO60n/Vr75k/7p/P31ZN+/STTJdRfC1zpdZKP75dkuz7d9unpqTzNlOkYdQIECBAgQIAAAQIECNxaoD5veGx5nnLwz/T32mT8vWnfAsk4drrG3LxkHJts1+fmHNKWbK+VjG271kj6MdP+pG9LMm2+ez3Jx99rp4dJttuTsS0Z69N5Qz2Z70+225PttmGd4Zn0Y4bXu575eVzSj0+2n7vmaidAgAABAmsUkEBf4605MwECBAgQIHC2gAUIECBAgAABAgQIECBAgACB9gVESIAAAQIEjhWQQD9WzHgCBAgQIECAwP0FnIAAAQIECBAgQIAAAQIECBBoX0CEBAgQIHAHAQn0O6DbkgABAgQIECDw2AKiJ0CAAAECBAgQIECAAAECBNoXECEBAgTWKSCBvs57c2oCBFYokGx/P1RyXNvawk76+PZ9r9ra4nLe6wpM3y9z9enuX3/9dfl6pkzHqBO4uIAFCRAgQIAAAQIECDQqkPS/xycpc7+PTduScew+jmQcO11jrp6MY+fWTcb+6fy5sYe0DWsk47rTeUnfPozrntP+U+vJ9rrd2kNJ+v4kR22RpCQv7y/p25KXz317Jf34Ydxbz6Qfe9RhDSawdAHnI0DgYQUk0B/26gVOgAABAgQIECDwiAJiJkCAAAECBAgQIECAAAECBNoXECEBAqcLSKCfbmcmAQIECBAgQIAAAQK3FbAbAQIECBAgQIAAAQIECBAg0L6ACAncVUAC/a78NidA4BEEkst9hFXSr5VksXRJPnxUWDJ+XNghh036eYeMPWVM0q+f5JTp5hAgQIAAgQsIWIIAAQIECNxX4OnpqTzdsNw32sfZffqx2kk+/k4+CCRj23Ts0D99TvuTcV6yXZ/Ou2V9esZb7nvpvYY4br3usG/3vPTe1iNAgACBQcBz7QIS6Gu/QecnQIAAAQIECBAgQIDALQTsQYAAAQIECBAgQIAAAQIECLQvIMIige5NQIAAAQIECBAgQIAAAQLNCwiQAAECBAgQIECAAAECBAgQaF/gEhFKoF9C0RoECBAgQIAAAQIECBAgQOB6AlYmQIAAAQIECBAgQIAAAQIEbiRwxwT6jSK0DQECBBYi0H231LllIaFsHSMZvwtt2pmM7cl2fTp2sEm2xyUv24ax0/nTejKOH9qHOd0zGfuT7Xo3ZijD/O45tCXbc5KXbcPYbt5Qhrbumbwcn7x83Y0ZyjB/1zMZ507HDPOTsT/Zrg/juufc/K492Z6XjG3dmKFM11AnQIAAAQIECJTCgACBxQhsnk9y7fK8hZ/1CiTzv+cNv+9Nn+uN0skJECBAgAABAm8LSKC/7bO7Vw8BAgQIECBAgAABAgQIECDQvoAICRAgQIAAAQIECBAgQOChBCTQH+q6x2DVCBAgQIAAAQIECBAgQIAAgfYFREiAAAECBAgQIECAAAECxwlIoB/nZfQyBJyCAIGFCUw/wu2Y+lwYh8yfmzdtm64xbR/q0/65+jBu13Nuzuu2XXOH9tfjX78exl3i+Xrt168P2eP1nNevD1nDGAIECBAgQIAAAQJHChhOgMCRAtPf1ZL+49inbUcutzU86ddMstW39oapU5KS9GVoX3t8zk+AAAECBAgcLiCBfriVkQQuJGAZAgQIECBAgAABAgQIECBAoH0BERIgQIAAAQIECBAgsEYBCfQ13pozE7ingL0JECBAgAABAgQIECBAgACB9gVESIAAAQIECBAgQOBBBSTQz7z43//+9+U3v/nNzvL999+fuYPpBAhcUsBaBAgQIECAAAECBAgQIECAQPsCIiRAgAABAgQIEFinwJ/+9KfyT//0Tztzr11e9g9/+MNVg5NAP5P3d7/7XfmP//iPneWzzz47cwfTCRBoRSDpvzsrOfnZCoU4CBAgQIAAAQIECBAgQIBA0wL1Obpjy/OU4eduz81mU4aSbP/5xdDXPY85ZDd+KMn2usnYNozrnsfsYezlBbo76Eoy3k8yX+/GdeXyp7AiAQIECDyawJdfflm++eabnbnXLi/729/+9qosEuhX5bU4AQIECIwCagQIECBAgAABAgQIECBAgED7AiIkQIAAAQIECKxbQAJ93ffn9AQIECBwKwH7ECBAgAABAgQIECBAgAABAu0LiJAAAQIECBB4eAEJ9Id/CwAgQIAAgUcQECMBAgQIECBAgAABAgQIECDQvoAICRAgQIAAgfMFJNDPN7QCAQIECBC4q0D3HWNDuetBrre5lQkQIECAAAECBAgQILB4geH3sks8LxHscI5T1xrmT5/Ttfa1T8dO69N5c/Xp2Gl9GDttO7U+rNU959bo2odyyf5hze45t+60rRszlKF9eN09h7bu2b0eSvf6dRn6uufrvu511z6U7vXrMvS99Xw958TXphEgQIAAgUUISKAv4hocggABAgQIEGhXQGQECBAgQIAAAQIECBAgQIBA+wIiJECAAIFWBCTQW7lJcRAgQIAAAQIEriFgTQIECBAgQIAAAQIECBAgQKB9ARESIECAwEcBCfSPFCoECBC4jsBbH291Tt91TmtVAgQItCUgGgIECBAgsCaBp6en8nSjsiaXW5312va3isM+BAgQIEDgEQXETIAAgUsKSKBfUtNaBAgQIECAAAECBC4nYCUCBAgQIECAAAECBAgQIECgfQEREiCwMAEJ9IVdiOMQIECAAAECBAgQaENAFAQIECBAgAABAgQIECBAgED7AiIk0J6ABHp7dyoiAgQIECBAgAABAgTOFTCfAAECBAgQIECAAAECBAgQaF9AhARmBCTQZ1A0ESBAgAABAgQIECBAYM0Czk6AwEoFNs/nvnZ53sLPvEB9br5meV7eDwECBAgQIECAAIGLCljsOgIS6NdxtSoBAgQIECBAgAABAgQInCZgFgECBAgQIECAAAECBAgQINC+wGIjlEBf7NU4GAECBAgQIECAAAECBAisT8CJCRAgQIAAAQIECBAgQIAAgTULHJZAX3OEzk6AAAECBAgQIECAAAECBAgcJmAUAQIECBAgQIAAAQIECBB4cIGHSKA/+B0LnwABAgQIECBAgAABAgQIPISAIAkQIECAAAECBAgQIECAwLkCEujnCl5/vh0IECBAgAABAgQIECBAgACB9gVESIAAAQIECBAgQIAAAQILEJBAX8AltH0E0REgQIAAAQIECBAgQIAAAQLtC4iQAAECBAgQIECAAAECbQhIoLdxj6K4loB1CRAgQIAAAQIECBAgQIAAgfYFREiAAAECBAgQIECAAIGfBSTQf4bwINCigJgIECBAgAABAgQIECBAgACB9gVESIAAAQIECBAgQIDA5QQk0C9naSUCBC4rYDUCBAgQIECAAAECBAgQIECgfQEREiBAgAABAgQIEFiUgAT6oq7DYQgQaEdAJAQIECBAgAABAgQIECBAgED7AiIkQIAAAQIECBBoTUACvbUbFQ8BAqsTSFKSvgyHT/rXycvn0H/1pw0IECBAgAABAgQILEDg6empPN2hLCB0RyBAgMBtBOxCgAABAgQIECCwJSCBvkWigQABAgTWLuD8BAgQIECAAAECBAgQIECAQPsCIiRAgAABAgQIXENAAv0aqtYkQIAAAQKnC5hJgAABAgQIECBAgAABAgQItC8gQgIECBAgQGChAhLoC70YxyJAoG2BZPxo9mMiTU6bd8wexhI4T8BsAgQIECDQlsAtPz68LbnLRFOfl7lHed7WDwECBAgQIPCmgE4CBAgQINCugAR6u3crMgIECBAgQOBYAeMJECBAgAABAgQIECBAgACB9gVESIAAAQIE3hCQQH8DRxcBAgQIECBAYE0CzkqAAAECBAgQIECAAAECBAi0LyBCAgQIELiugAT6dX2tToAAAQIECBAgcJiAUQQIECBAgAABAgQIECBAgED7AiIkQIDA4gUk0Bd/RQ5IgEDrApvNpgwlSUnyIuShr3u+6PCCAAECBBYk4CgECDQrsHmO7JrleXk/BAgQIECAAAECBAisRcA5CRB4BAEJ9Ee4ZTESIECAAAECBAgQeEtAHwECBAgQIECAAAECBAgQINC+gAgJEDhIQAL9ICaDCBAgQIAAAQIECBBYqoBzESBAgAABAgQIECBAgAABAu0LiJDArQQk0G8lbR8CBAgQIECAAAECBAhsC2ghQIAAAQIECBAgQIAAAQIE2hcQ4YoEJNDPvKx/+7d/K7/+9a93lr/+9a9n7mA6AQIECBAgQIAAAQIElirgXAQIECBAgAABAgQIECBAgED7AreL8IcffihffvnlztzrP/7jP5Z///d/v+qBJNDP5P3nf/7n8sc//nFn+fzzz8/cwXQCBAgQIECAAAECBAgQuIqARQkQIECAAAECBAgQIECAAIFFCXz66aflT3/6087c63/91399SK4fdegjB0ugHwlmOAECBAgQIECAAAECBAgQWIKAMxAgQIAAAQIECBAgQIAAgUcUePfu3VXDXloC/arBWpwAAQJLFEhSkr4M59tsNmUoSd+XZOj2JECAAAECBAgQILB2AecnQIAAAQIECBAgQIAAAQKLFJBAv+i1WIwAAQIECBAgQIAAAQIECBBoX0CEBAgQIECAAAECBAgQINCqgAR6qzd7SlzmECBAgAABAgQIECBAgAABAu0LiJAAAQIECBAgQIAAAQIEdgpIoO+k0bE2AeclQIAAAQIECBAgQIAAAQIE2hcQIQECBAgQIEBdDHxxAAAQAElEQVSAAAECBK4pIIF+TV1rEzhcwMgHE9hsNmUox4Q+zOmex8wzlgABAgQIECBAgAABAgQWIeAQBAgQIECAAAECBAgsXEACfeEX5HgE1iHglAQIECBAgAABAgQIECBAgED7AiIkQIAAAQIECBAg0L6ABHr7dyxCAgT2CegnQIAAAQIECBAgQIAAAQIE2hcQIQECBAgQIECAAIEDBCTQD0AyhAABAtcU6D6O/XWZ7jftm7YPdU8CBAgQIPCoAk9PT+XphuVRnQ+J+xb3cMg5jCFAgAABAi0LTGNLUpLjy3SNJdSTPoYlnKXlMyS9c5KWwxQbAQIECBC4mIAE+sUoLUSAAAECJwiYQoAAAQIECBAgQIAAAQIECLQvIEICBAgQIECAwGoEJNBXc1UOSoAAAQLLE3AiAgQIECBAgAABAgQIECBAoH0BERIgQIAAAQKPJCCB/ki3LVYCBAgQIDAVUCdAgAABAgQIECBAgAABAgTaFxAhAQIECBAgcJSABPpRXAYTIEDg8gJJtr63bLpLMvZP29UJPKpArbXUWktXHtVA3AQI/CyweX5euzxv4We/QH0ecu3yvIUfAgQIECCwaIFk/P09Oa9+TKCbzaYcWo5Z11gCSxFwDgIECBAgcGsBCfRbi9uPAAECBAgQIFAKAwIECBAgQIAAAQIECBAgQKB9ARESIECAwAoFJNBXeGmOTIAAAQIECBC4r4DdCRAgQIAAAQIECBAgQIAAgfYFREiAAIHHFJBAf8x7FzUBAgQIECBA4HEFRE6AAAECBAgQIECAAAECBAi0LyBCAgQInCgggX4inGkECBA4RyAZvwvtmHWS0+Yds8e5Y5PxjMl2fd/6yfac5GXbvjX29Scv10tevj53fpJ9S5Qkb5a9CxwxIDl/r+T8NY448ptDu+8+H8qbA3USaFRAWAQIECBAgAABAssXqLWUWkuptZRaS6m1lFpLqbWUWkuptZRaS6m1lFpLqfW+MSXn/c6XnDd/Gn0yv9Z0zFw9mZ+X9O1zc7q2ZLs/6duSdEO2SpKPv9Nvdb7RkIzzku36rqlJP3ban/RtycvnMCYZ24e27pnMt3d9XUnG/mS73o1RCBC4jYBdCBC4n4AE+v3s7UyAAAECBAgQIEDg0QTES4AAAQIECBAgQIAAAQIECLQvIEICqxaQQF/19Tk8AQIECBAgQIAAAQK3E7ATAQIECBAgQIAAAQIECBAg0L6ACB9dQAL90d8B4idA4O4Cm82mDGXuMENf95zrX0JbMn6kV3fOt0oyjp2ePenb35o79CX92On8ffWkn5Pko/ew3utnMo6drpv07a/Hz71O+rFz85PTzzBdb1896c8wd75pW9KPS/JiySQfP5JuOn6unoxjXyziBQECBAgsR8BJCBAgQIAAgSYFkvH3sWS7vivoZBw793vetC3px07XSvq25PzfcZP9ayX9mFufIen3TcbnnE2S6dE+1pNc7HfrZP9aST9mesaPh3muzLUn/Zzk/Lt83sIPAQIECNxbwP5nC0ign01oAQIECBAgQIAAAQIECBC4toD1CRAgQIAAAQIECBAgQIAAgfYFlhChBPoSbsEZCBAgQIAAAQIECBAgQKBlAbERIECAAAECBAgQIECAAAECKxE4I4G+kggdkwABAgQIECBAgAABAgQIEDhDwFQCBAgQIECAAAECBAgQIPA4Ao+bQH+cOxYpAQIEri4w9/1Zx246rHHsPOMJECBAgAABAgQIvCmgkwABAo0LDL9P73oeEn6Skuwuh6zx1pjp2ebG7eufm9O1Teclu8+fpBv+ZpmuNTdwX//cnNdtSc5yvsQZXp/JawIECBAgQGBbQAJ922QVLQ5JgAABAgQIECBAgAABAgQItC8gQgIECBAgQIAAAQIECBC4rYAE+m297dYL+DsBAgQIECBAgAABAgQIECDQvoAICRAgQIAAAQIECBAgsDoBCfTVXZkD31/ACQhcViAZP75rWDkZ25KxPvQ/yjMZY0/G+vCRZY/iIE4CBAicIvD09FSeblROOZ85BAgQIEBg+QJOSOBxBIbfs/c9lyaSbP9Zwa4YlnD2XWeba1/CeZ2BAAECBAg8qoAE+qPevLgfV0DkBAgQIECAAAECBAgQIECAQPsCIiRAgAABAgQIECBA4CQBCfST2EwiQOBeAvYlQIAAAQIECBAgQIAAAQIE2hcQIQECBAgQIECAAIF7CUig30vevgQIPKKAmAkQIECAAAECBAgQIECAAIH2BURIgAABAgQIECCwYgEJ9BVfnqMTILBegel3Wx0Txanzjtlj99jTe5L57yTbt+I03mk96dfbN1//OgWS/n6T+ec0qqenp/I0U6ZjllqfO/cl2+4V9yVjOGSte8W5hn3r8yFvVZ638kOAAAECBAgQINCMwHYgSf/72XbPYS1JPz/JYRMuNCpJSfpyoSWvukzSnzXJVfexOAECBAgQIPC2gAT62z56CRAgQKAVAXEQIECAAAECBAgQIECAAAEC7QuIkAABAgQIECBwpoAE+hmA3X8N+e2335ZPP/20/OIXv9gqXftf/vKX0o07YxtTCRAgQIBAQUCAAAECBAgQIECAAAECBAi0LyBCAgQIECDw6AI//fRTeffu3VbedcjFdvnX//3f/70qkwT6GbxJyieffFJ++OGH8ve//32rdO3dBScp/iJAgAABAg8sIHQCBAgQIECAAAECBAgQIECgfQEREiBAgACBswW63OuPP/64lXcdcrFd/vXzzz8/e5+3FpBAf0vngL5f/epXb456//79m/06CRAg0H1KxaFlbVpJPnzX2DS+tcXgvLcXmL5f5urTE3399dfl65kyHXN+/Tor1Odlr1mel7/Pz+Z522uX5y38ECBAgAABAgQIEFiyQK2l1FpKraXUWkqtpdRaSq2l1FpKraXUWkqtpdRaSq23j2b6+1bS//6ezD+HsdNTDm3dM5mfl/Tt3ZihTNc4tz6s2T2Tfq9kfHbtQzl3r1PnD/t3z2Q8W7Jd78YM5dT99s1Lxn2HscOe3TMZ+5PtejdmKMP8dp4iIUCAAIG1CHT/AfM1zyqBfk1daxMgQIAAAQIE7i1gfwIECBAgQIAAAQIECBAgQKB9ARESIECAwMUEJNAvRmkhAgQIECBAgACBSwtYjwABAgQIECBAgAABAgQIEGhfQIQECBBYkoAE+pJuw1kIEHgYgWT8CKzWgk7G2I75SK+kn9eah3gIEHhoAcETIECAAAECBAg8kMDwO/AlnvvYpnvsG3tI/3S9ufq+NebmTNt2zR/G7Oqftu8bO/RPn3Pzu/659mnbtN6N78q0bVrv+oYybZ+rD+N2PefmdG3D+K6+r8yNHdpeP+fWej3m9eu5OdoIECgICBBoTEACvbELFQ4BAgQIECBAgACBywhYhQABAgQIECBAgAABAgQIEGhfQIQECLwWkEB/LeI1AQIECBAgQIAAAQLrFxABAQIECBAgQIAAAQIECBAg0L6ACAlcQUAC/QqoliRAgAABAgQIECBAgMA5AuYSIECAAAECBAgQIECAAAEC7QuIcJkCEujLvBenIkCAwKoEkpSkL9ODJ31bMv+cjh2+UyuZH5uM7cPY6fxpPRnHDu3DnO6ZjP3Jdr0bM5Rhfvcc2pLtOcnLtmFsN28oQ1v3TF6OT16+7sYMZZi/65mMc6djhvnJ2J9s14dx3XNufteebM9LxrZuzFCma6gTIECAwEMKCJoAAQIECBAgQIAAAQIECBBoX6DZCCXQm71agREgQIAAAQIECBAgQIDA8QJmECBAgAABAgQIECBAgAABAu0L7I5QAn23jR4CBAgQIECAAAECBAgQILAuAaclQIAAAQIECBAgQIAAAQIEzhJYRQL9rAhNJkCAwMIFkvFjsJPD60sKa/jo7mOfczEcssbcvGnbdI1p+1Cf9s/Vh3G7nnNzXrftmju0vx7/+vUw7hLP12u/fn3IHq/nvH59yBrGECBAgAABAgT2CegnQIAAAQIECBAgQIAAAQL3FpBAv/4N2IEAAQIECBAgQIAAAQIECBBoX0CEBAgQIECAAAECBAgQINCAgAR6A5d43RCsToAAAQIECBAgQIAAAQIECLQvIEICBAgQIECAAAECBAgQ6AQk0DsFpV0BkREgQIAAAQIECBAgQIAAAQLtC4iQAAECBAgQIECAAAECFxKQQL8QpGUIXEPAmgQIECBAgAABAgQIECBAgED7AiIkQIAAAQIECBAgQGA5AhLoy7kLJyHQmoB4CBAgQIAAAQIECBAgQIAAgfYFREiAAAECBAgQIECgKQEJ9KauUzAECFxOwEoECBAgQIAAAQIECBAgQIBA+wIiJECAAAECBAgQIPBSQAL9pYdXBAgQaENAFAQIECBAgAABAgQIECBAgED7AiIkQIAAAQIECBC4uIAE+sVJLUiAAIH9ApvNppxb9u+y3hFOfpzA9L103EyjCRAgQIAAAQIECBAgQIDA/QTsTIAAAQIECBBYooAE+hJvxZkIECBAYM0Czk6AAAECBAgQIECAAAECBAi0LyBCAgQIECBAoFEBCfRGL1ZYBAgQIEDgNAGzCBAgQIAAAQIECBAgQIAAgfYFREiAAAECBAjsEpBA3yWjnQABAjcSSFKSw8qNjmQbAusVcHICBAgQIECAAAECBAgQIECgfQEREiBAgACBKwpIoF8R19IECBAgQIAAgWMEjCVAgAABAgQIECBAgAABAgTaFxAhAQIECCxbQAJ92ffjdAQIECBAgACBtQg4JwECBAgQIECAAAECBAgQINC+gAgJECDQvIAEevNXLEACBAgQIECAAIH9AkYQIECAAAECBAgQIECAAAEC7QuIkAABAvsFJND3GxlBgACBiwskKUlfjlk86eckOWaasQQIECDQuoD4CBAgQIAAAQIECBAgQIAAgfYFREiAwE0EJNBvwmwTAgQIECBAgAABAgR2CWgnQIAAAQIECBAgQIAAAQIE2hcQIYG1CEigr+WmnJMAAQIECBAgQIAAgSUKOBMBAgQIECBAgAABAgQIECDQvoAIH0hAAv2BLluoBAgQIECAAAECBAgQeCngFQECBAgQIECAAAECBAgQINC+gAiPEZBAP0bLWAIECFxBYLPZlEPLFba3JAECBAgQIEBgvQJOToAAAQIECBAgQIAAAQIECLQvcOMIJdBvDG47AgQIECBAgAABAgQIECDQCSgECBAgQIAAAQIECBAgQIDA8gQunUBfXoRORIAAAQIECBAgQIAAAQIECFxawHoECBAgQIAAAQIECBAgQKBJAQn0F9d6/Isff/zxzUn7+t+crJMAAQIECBAgQIAAAQIECBC4goAlCRAgQIAAAQIECBAgQIDAvIAE+rzLwa3ffPNN+eKLL8pXX301W/72t7+VmyXRDz61gQQIECBAgAABAgQIECBAgMBqBRycAAECBAgQIECAAAECjQp8++235f3797N51yEf+8c//rFc8y8J78AAmwAAEABJREFU9DN1f/Ob35TuIv/7v/+7zJXugt+9e3fmLo8xXZQECBAgQIAAAQIECBAgQIBA+wIiJECAAAECBAgQIECAwC6B7j9c/u6772bzrkMu9te//vWu6Rdpl0C/CKNFCBQEBAgQIECAAAECBAgQIECAQPsCIiRAgAABAgQIECBAoHEBCfTGL1h4BA4TMOqeAklKcli55zntTYAAAQIECBAgQIAAAQJrF3B+AgQIECBAgAABAgT2CUig7xPST4DA8gWckAABAgQIECBAgAABAgQIEGhfQIQECBAgQIAAAQIEbiAggX4DZFsQIEDgLQF9BAgQIECAAAECBAgQIECAQPsCIiRAgAABAgQIEFiHgAT6Ou7JKQkQaExgs9mUoRwT2jCnex4z74pjLU2AAAECBAgQIECAAAECBAi0LyBCAgROFEjGr24clki224Y+TwIECBC4v4AE+v3vwAkIECBA4G4CNiZAgAABAgQIECBAgAABAgTaFxAhAQIECBAgQOBwAQn0w62MJECAAAECyxJwGgIECBAgQIAAAQIECBAgQKB9ARESIECAAAECNxWQQL8pt80IECBAgACBQcCTAAECBAgQIECAAAECBAgQaF9AhAQIECBAYG0CEuhruzHnJUCgOYHNZlMOLc0FLyAC6xVwcgIECBAgQIAAAQIECCxaIOm/Y/mYQyb9nCTHTLvb2CQl6cvdDrGCjZPeKMlNT5vk4/0kb9dverDjNjtpdDLGO/1zv6Rvn7adtIFJBAgQIHBVAQn0q/JanAABAgQIECCwRAFnIkCAAAECBAgQIECAAAECBNoXECEBAgQInCIggX6KmjkECBAgQIAAAQL3E7AzAQIECBAgQIAAAQIECBAg0L6ACAkQIHAnAQn0O8HblgABAgQIECBA4DEFRE2AAAECBAgQIECAAAECBAi0LyBCAgTWKyCBvt67c3ICBFYikPTfbZRc9rmS8B2TAAECBNoSEA0BAgQIECBAgMAOgeRyv/fv2GJvczKeYfiO5WRs27uAAQSuJDC8H3c9k7bep9M4p6RD+7RNncBCBRyLwEMLSKA/9PULngABAgQIECBAgMAjCYiVAAECBAgQIECAAAECBAgQaF9AhATOE5BAP8/PbAIECBAgQIAAAQIECNxGwC4ECBAgQIAAAQIECBAgQIBA+wIivLuABPrdr8ABCBAgQIAAAQIECBAg0L6ACAkQIECAwEMJbJ6jPbY8T1nqTzJ+vHbS1/edNenHJbufc2sk4/hpfzK2J319V//QnvTjkgxNO59JStKXuUFJ35fkRXeSg+cl49ikr79Y7MQXSb9WMj6PWSoZ5yXb9WPWuvTYpD/PdN2kb0sybf5YT/LxTpLt+seBb1SSt+clY//cMsnYn2zX5+a8bku25yVj2+vxXhMgQGApAi2cQwK9hVsUAwECBAgQIECAAAECBAhcU8DaBAgQIECAAAECBAgQIECAQPsCHyKUQP/A4G8ECBAgQIAAAQIECBAgQKBVAXERIECAAAECBAgQIECAAAEChwqsN4F+aITGESBAgAABAgQIECBAgAABAusVcHICBAgQIECAAAECBAgQIHBDAQn0G2JPt1InQOBxBDabTblGeRxBkRIgQIAAAQIECBBYr4CTEyBAYK0CSUrSl7k/10j6viQvQkzyYd7cnNdtST/2xQKTF0nfn2T2z1YmQ1/0T9uvUU/mzzXslcz3v46/e52MY4f5hzyTcV63zuuSjP271kv6Ma/nvn6d9OOS7Frq6u1JPryvkpfvhenGST/m9flfv076cUmm0z+un7zcY5if5OOYFxN/fpGM/cOcXc9kHPvz9A+PZGzfNXdoT8axHyb7GwECBAhcTEAC/WKUD7WQYAkQIECAAAECBAgQIECAAIH2BURIgAABAgQIECBAgACBhxOQQH+4KxdwKQwIECBAgAABAgQIECBAgACB9gVESIAAAQIECBAgQIAAgeMFJNCPNzODwH0F7N6cQDJ+3FJyeL05CAERIECAAAECBAgQIECAwCigRuBAgWT8s4Tho5275zC9qw8lGccO/buew5zuuWvMW+3JuFcyX39rftfX7T2U7vVSynCm7jl3pq59KMl87EnfPjf/Em3D/t3zEuudu0bSx5vMP7tzDmVur6Gve871T9uS+T2Svn069ph6t/dQ5uYNfd0z6fdK5p9z87URIECAwHIEJNCXcxdOQuAhBARJgAABAgQIECBAgAABAgQItC8gQgIECBAgQIAAAQJrFZBAX+vNOTcBAvcQsCcBAgQIECBAgAABAgQIECDQvoAICRAgQIAAAQIEHlhAAv2BL1/oBAg8moB4CRAgQIAAAQIECBAgQIAAgfYFREiAAAECBAgQIHCOgAT6OXrmEiBA4ESBZPz+oxOXWOy0ZIwt2a7vO3iyPSdJyaTsW2Nff7J/j6QfM7dW0vclu59z86Ztye65SaZDz64nKcnucsgGye75SQ5ZwhgCBAgQIECAAAECBAgQuLJAkrN//7vUEbvvgT60vNizgRfJeA/7DBoI96AQbumwb69p/0GHP3BQ4t4PpDKMAAECixeQQF/8FTkgAQIECLQgIAYCBAgQIECAAAECBAgQIECgfQEREiBAgAABAusXkEBf/x2KgAABAgQIXFvA+gQIECBAgAABAgQIECBAgED7AiIkQIAAAQIEngUk0J8R/BAgQIAAAQItC4iNAAECBAgQIECAAAECBAgQaF9AhAQIECBA4DICEuiXcbQKAQIEThaY+96ladu0fvImV56YHP4dT8k4dnqspG+fxrurnvRjp/NPre/aY2ifrpv0+w59bz2Tfuzc/CTlrbldX9LPTzJd4qh6kg/ffdet91ZJ+nFJXqyf5MP85DbnfbG5F6OAGgECBAgQIECAAAECBF4JJIf/vrbr98FkXOPV8h9eJm/3fxh05t+Sfo8zlzlrenKfMyTX3Tfp109ylk+Lk5N8/POOY+JLTps33SPp15i2fayrECBAgMBiBCTQF3MVDkKAAAECBAgQaE9ARAQIECBAgAABAgQIECBAgED7AiIkQIBASwIS6Gfe5r/+67+W3/72tzvLd999d+YOphMgQIAAAQIECNxJwLYECBAgQIAAAQIECBAgQIBA+wIiJEBgQQL/8z//U7744oududcuL/v73//+qieWQD+T91/+5V/KH/7wh53l/fv3Z+5gOgECjyiQ9B/nlLx8LtVi+nFwp55xWOPU+fvmJaPlsFf33DdPPwECBNYr4OQECBAgQIAAAQJ3E8jzzseW5ylL+ul+Zx5Kko8feZ309aGve07P3b3uStKPS3Y/u3Fdmc4/tZ6M+wxrdGsPJRn7k7E+9A9zLvEc1uyeybhXMta7vq6cul83dyjJuG7S14e+7rlrj66vK0k/J5l/dmOGsmutJbQPZ0zm40j69mFc95yeu3s9lKQfm4zPoa97TucN9a59KMk4LxnrQ/8w5/Vz6O+eyTgv2a53Y4byeh2vH01AvATaEvjlL39Zvv3225251y4v+7vf/e6qQUugX5XX4gQIECBAgAABAgQInCRgEgECBAgQIECAAAECBAgQINC+gAgJLFBAAn2Bl+JIBAgQIECAAAECBAisW8DpCRAgQIAAAQIECBAgQIAAgfYFRNimgAR6m/cqKgIECBAgQIAAAQIECJwqYB4BAgQIECBAgAABAgQIECDQvoAIdwhIoO+A0UyAAIFrCgzfT9Q9k/E7jLrXXdm1d9c3lF1jtO8XSEbzZLu+fwUjCBAgQIAAgeUKOBkBAgQIELiPwPD7+iWe+yKY7rFv7K7+uTXm2rr50/ah3rW/VYZxbz3n5k/Hz/VP26Zjp/XpmKE+7Z/W5/qHtulzbs60f1d9Om9aH8bPtQ19hz6nawz16dyhrXtO24d61/5WGcYd+5yueezcYfywxvD6kOcwZ9fz1DUOmTeM2bf3tH+Y8/o5HTNXfz3eawIECDyewPUilkC/nq2VCRAgQIAAAQIECBAgQIDAcQJGEyBAgAABAgQIECBAgAABAncVuEkC/a4R2pwAAQIECBAgQIAAAQIECBC4iYBNCBAgQIAAAQIECBAgQIDA2gUk0PffoBEECBC4qsD0I5iGjaZt0/rQv7ZnMn5M+qnxJNtrHOMw3XdfPRn3OmYPYy8jkIz+yXZ9usvT01N5minTMeoECBAgQIAAgQMFDCNAgAABAgQeWCDZ/jOIZL5t+mdLD0wmdAIECDQrIIHe7NUOgXkSIECAAAECBAgQIECAAAEC7QuIkAABAgQIECBAgAABAgQuISCBfglFa1xPwMoECBAgQIAAAQIECBAgQIBA+wIiJECAAAECBAgQIECAwEIEJNAXchGO0aaAqAgQIECAAAECBAgQIECAAIH2BURIgAABAgQIECBAgEA7AhLo7dylSAhcWsB6FxJItr8r6UJLL36ZpI/91O+FSvr5ScqpayweyQG3BKZ3PVefTvj666/L1zNlOkadAAECBAgQIECAAIE3BXQSIECAwLPA3J9B7Gp7Hu6HAAECBBoWkEBv+HKFRuCxBURPgAABAgQIECBAgAABAgQItC8gQgIECBAgQIAAAQKXFZBAv6yn1QgQIHAZAasQIECAAAECBAgQIECAAAEC7QuIkAABAgQIECBAYHECEuiLuxIHIkCAwPoFRECAAAECBAgQIECAAAECBAi0LyBCAgQIECBAgECLAhLoLd6qmAgQWLxAMn63d/J2ffHBvDpgMsYzfE/UqyFvvky253frvDnpgM5kXHfPcN0ECBAgQIAAAQIECBAgQIBA+wIiJECAAAECBAjMCkigz7JoJECAAAECaxVwbgIECBAgQIAAAQIECBAgQKB9ARESIECAAAEC1xKQQL+WrHUJECBAgACB4wXMIECAAAECBAgQIECAAAECBNoXECEBAgQIEFiwgAT6gi/H0QgQaEOg+/jx1+WYyJLxo8eTsX7MGtcem8yfKxnbk+369FxJ3z/XlvR9ycvndOy0nozjhvbpHSRjf7Jdn44d5nfPoT3ZnpO8bBvGdvOGMrR1z+Tl+OTl627MUIb5u57JOHc6ZpifjP3Jdn0Y1z3n5nftyfa8ZGzrxgxlusaj1cVLgAABAgQIECBAgAABAgQItC8gQgIECBBoW0ACve37FR0BAgQIECBA4FAB4wgQIECAAAECBAgQIECAAIH2BURIgAABAnsEJND3AOkmQIAAAQIECBBYg4AzEiBAgAABAgQIECBAgAABAu0LiJAAAQLXF5BAv76xHQgQIECAAAECBAi8LaCXAAECBAgQIECAAAECBAgQaF9AhAQIrEJAAn0V1+SQBAi0JrDZbMqhZQ2xHxrL63HT2F73HfJ6On9an86dtg/1af9cfRi36zk353XbrrlD++vxr18P4y7xfL3269eH7PF6zuvXh6xhDAEC7QqIjAABAgQIECDwCAJJSqIkDBIGCYNk3QaP8O9tMV5ewIoEHkVAAv1RblqcBAgQIJ3Hj2gAABAASURBVECAAAECBAjMCWgjQIAAAQIECBAgQIAAAQIE2hcQIYGDBSTQD6YykAABAgQIECBAgAABAksTcB4CBAgQIECAAAECBAgQIECgfQER3lJAAv2W2vYiQIDAzwLJ4R/x9PMUDwIECBAgQIBAewIiIkCAAAECCxd4/fVVXh/+lXSsWHkPrOc9sPB/FTseAQItCKwsBgn0lV2Y4xIgQIAAAQIECBAgQIDAMgScggABAgQIECBAgAABAgQIEGhP4HUCvb0IRUSAAAECBAgQIECAAAECBAi8FvCaAAECBAgQIECAAAECBAgQmBFoLIE+E6EmAgQIECBAgAABAgQIECBAoDEB4RAgQIAAAQIECBAgQIAAgesISKBfx/W0Vc0iQKBJgSQleVmOCXTX90Uds4axbQtM3yNtRyo6AgQIECBAgEAjAsIgQIAAAQIECBAgQIAAgcUKSKAv9mrWdzAnJkCAAAECBAgQIECAAAECBNoXECEBAgQIECBAgAABAgRaFpBAb/l2xXaMgLEECBAgQIAAAQIECBAgQIBA+wIiJECAAAECBAgQIECAwJsCEuhv8ugksBYB5yRAgAABAgQIECBAgAABAgTaFxAhAQIECBAgQIAAAQLXFpBAP0P4p59+Kv/5n/9Zvvjii53lu+++K3//+9/P2MVUAg8g8IAhbjabcmh5QB4hEyBAgAABAgQIECBAgECLAmIiQIAAAQIECBAgsEfg+++/L//wD/+wM/f6q1/9qnzzzTd7VjmvWwL9DL9PPvmk/PKXvyzffvvtztKN+cUvfnHGLqYSILB0AecjQIAAAQIECBAgQIAAAQIE2hcQIQECBAgQIECAwPUFPvvss/KXv/xlZ+71z3/+c/nqq6+uehAJ9DN5379//+YK3SW/OUAnAQIE7itgdwIECBAgQIAAAQIECBAgQKB9ARESIECAAAECBJoRePfu3VVjkUC/Kq/FCRAgUGY/qp3LpQSsQ4AAAQIECBAgQIAAAQIECLQvIEICBAgQIECAwO0EJNBvZ20nAgQIECDwUsArAgQIECBAgAABAgQIECBAoH0BERIgQIAAAQKrEpBAX9V1OSwBAgQIEFiOgJMQIECAAAECBAgQIECAAAEC7QuIkAABAgQIPJqABPqj3bh4CRAgQIAAgU5AIUCAAAECBAgQIECAAAECBNoXECEBAgQIEDhaQAL9aDITCBAgQIAAAQL3FrA/AQIECBAgQIAAAQIECBAg0L6ACAkQIEDgHgIS6PdQtycBAgQIECBA4JEFxE6AAAECBAgQIECAAAECBAi0LyBCAgQIrFRAAn2lF+fYBAgQIECAAAEC9xGwKwECBAgQIECAAAECBAgQINC+gAgJEHhcAQn0x717kRMgQIAAAQIECDyegIgJECBAgAABAgQIECBAgACB9gVESIDAGQIS6GfgmUqAAAECBAgQIECAwC0F7EWAAAECBAgQIECAAAECBAi0LyBCAvcVkEC/r7/dCRAgQIAAAQIECBB4FAFxEiBAgAABAgQIECBAgAABAu0LiHD1AhLoq79CARAgQIAAAQIECBAgQOD6AnYgQIAAAQIECBAgQIAAAQIE2hcQYSkS6N4FBAgQIECAAAECBAgQINC6gPgIECBAgAABAgQIECBAgACB9gUuEqEE+kUYLUKAAAECBAgQIECAAAECBK4lYF0CBAgQIECAAAECBAgQIEDgVgL3S6DfKkL7ECBAgAABAgQIECBAgAABAvcTsDMBAgQIECBAgAABAgQIEFiRgAT6iZdlGgECBAgQIECAAAECBAgQINC+gAgJECBAgAABAgQIECBA4LEEJNAf676HaD0JECBAgAABAgQIECBAgACB9gVESIAAAQIECBAgQIAAAQJHCkigHwlm+BIEnIEAAQIECBAgQIAAAQIECBBoX0CEBAgQIECAAAECBAgQuL2ABPrtze346ALiJ0CAAAECBAgQIECAAAECBNoXECEBAgQIECBAgAABAqsUkEBf5bU5NIH7CdiZAAECBAgQIECAAAECBAgQaF9AhAQIECBAgAABAgQeVUAC/VFvXtwEHlNA1AQIECBAgAABAgQIECBAgED7AiIkQIAAAQIECBAgcLKABPrJdCYSIEDg1gL2I0CAAAECBAgQIECAAAECBNoXECEBAgQIECBAgMA9BSTQ76lvbwIECDySgFgJECBAgAABAgQIECBAgACB9gVESIAAAQIECBBYuYAE+sov0PEJECBA4DYCdiFAgAABAgQIECBAgAABAgTaFxAhAQIECBAgQEAC3XuAAAECBAi0LyBCAgQIECBAgAABAgQIECBAoH0BERIgQIAAAQIXEJBAvwCiJQgQIECAAIFrClibAAECBAgQIECAAAECBAgQaF9AhAQIECBAYBkCEujLuAenIECAAAECBFoVEBcBAgQIECBAgAABAgQIECDQvoAICRAgQKAZAQn0Zq5SIAQIECBAgACBywtYkQABAgQIECBAgAABAgQIEGhfQIQECBAgMApIoI8WagQIECBAgAABAm0JiIYAAQIECBAgQIAAAQIECBBoX0CEBAgQuKiABPpFOS1GgAABAgQIECBA4FIC1iFAgAABAgQIECBAgAABAgTaFxAhAQJLE5BAX9qNOA8BAgQIECBAgACBFgTEQIAAAQIECBAgQIAAAQIECLQvIEICDQpIoDd4qUIiQIAAAQIECBAgQOA8AbMJECBAgAABAgQIECBAgACB9gVESGBOQAJ9TuWIth9//PHN0d9///2b/ToJECBAgAABAgQIECBwYQHLESBAgAABAgQIECBAgAABAu0LPGyE//d//3fV2CXQz+T985//XD777LPy+eefz5affvqpdOXMbUwnQIAAAQIECBAgQIDAgwgIkwABAgQIECBAgAABAgQIEGhfYD7C7j9e/vTTT2fzrl0+tsvL/vWvfy2bzaZc6y8J9DNlv/zyy9L9V+bdRc2V9+/fl08+wXwms+kECBAgQIAAAQIECBBYh4BTEiBAgAABAgQIECBAgAABAicLvHv3rvzwww9lLu/atXV52a+++qokOXmPfRMPyuzuW0Q/AQIECBAgQIAAAQIECBAgsH4BERAgQIAAAQIECBAgQIAAgUcXeIQE+qPfsfgJECBAgAABAgQIECBAgMAjCIiRAAECBAgQIECAAAECBAicLSCBfjbhtRewPgECBAgQIECAAAECBAgQINC+gAgJECBAgAABAgQIECBAYAkCEuhLuIWWzyA2AgQIECBAgAABAgQIECBAoH0BERIgQIAAAQIECBAgQKARAQn0Ri5SGNcRsCoBAgQIECBAgAABAgQIECDQvoAICRAgQIAAAQIECBAgMAhIoA8SngTaExARAQIECBAgQIAAAQIECBAg0L6ACAkQIECAAAECBAgQuKCABPoFMS1FgMAlBay1VoEkJdld9sWV7J6b9H371tjXn/TrJPPPc+cn2bfEm0bJ/vl7N5gMSPLmfpOhO6vJ+WvsXFwHAQIECBAgQIAAAQIPLCB0AgQIECBAgAABAssSkEBf1n04DQECrQiIgwABAgQIECBAgAABAgQIEGhfQIQECBAgQIAAAQLNCUigN3elAiJAgMD5AlYgQIAAAQIECBAgQIAAAQIE2hcQIQECBAgQIECAwLaABPq2iRYCBAgQWLeA0xMgQIAAAQIECBAgQIAAAQLtC4iQAAECBAgQIHAVAQn0q7BalAABAo8lkIzfj73ZbMpbJRnHTpWSvv2tuUNf0o+dzt9XT/o5Sd48X7dHMo6drpv07d2YfSXpx87NT946Q++X9POTTJc4qp6kJKfvlfTzk9PXOOrABhMgQIAAAQIECBAgQIAAgYcRECgBAgQIECCwVAEJ9KXejHMRIECAAIE1CjgzAQIECBAgQIAAAQIECBAg0L6ACAkQIECAQMMCEugNX67QCBAgQIAAgeMEjCZAgAABAgQIECBAgAABAgTaFxAhAQIECBB4S0AC/S0dfQQIECBwkMD048wPmjAzaFhjpksTAQKHCRh1psDT01N5+rmcuZTpBPYKDO+17rl3sAEEThDo3ltDOWG6KQSOFvB+O5rMhCMFaq2l/lyOnGo4AQIEWhMQDwECBAhcWUAC/crAlidAgAABAgQIEDhEwBgCBAgQIECAAAECBAgQIECgfQEREiBAYPkCEujLvyMnJECAAAECBAgQWLqA8xEgQIAAAQIECBAgQIAAAQLtC4iQAIGHEJBAf4hrFiQBAgQIECBAgACB3QJ6CBAgQIAAAQIECBAgQIAAgfYFREiAwGECEuiHORlFgAABAgQIECBAgMAyBZyKAAECBAgQIECAAAECBAgQaF9AhARuJiCBfjNqGxEgQIAAAQIECBAgQOC1gNcECBAgQIAAAQIECBAgQIBA+wIiXJOABPqabstZCRAgQIAAAQIECBAgsCQBZyFAgAABAgQIECBAgAABAgTaF3iwCCXQH+zChUuAAIF7CCQpSV82m00ZyjFnSfr5SU6af8xext5XIBnvOtmuT0/39PRUns4o07VKSSlXL+XjX/W5ds3yvPzHn1pLqbWUWkuptZRaS6m1lFpLqbWUWkuptZRaS6m1lFpLqbWUWkuptZRaS6m1lFpLqbWUWkuptZRaS6m1lFo/blWuTthdUxn/Ouf+X88dVy3ldd85r6frlqsDlY9/dddyq/Jx0+dKraXUWkqtpdRaSq2l1FpKraXUWkqtpdRaSq2l1FpKraXUWkqtpdRaSq2l1FpKraXUWkqtpdRaSq2l1FpKrc+bDD/d++HaZdjr+XnO++D13OflPv687jv29ceFPlSuDTJd/8OGH/7WXcu1y4eNnv9Waym1llJrKbWWUmsptZZSaym1llJrKbWWUmsptZZSaym1llJrKbWWUmsptZZSaym7yvM248805GvUx52u9u+eY99Tc+PHY14D4fWa4271uXqP8rztx59aS6m1lFpLqbWUWkuptZRaS6m1lFpLqbWUWkuptZRaS6m1lFpLqbWUWkuptZRaS6m1lFpLqbWUWkup9eM2feU1xTVe9ztd9P3WvWd+XvYi6w5rlav/72YHXD7+1V3HNcvHjZ4rtZZSaym1llJrKbWWUmsptZZSaym1llJrKbWWUmsptZZSaym1llJrKbWWUmsptZZSaym1llJrKbWWUmsptZZSaym1llLr84bDTxfytcuw1/Oze29cqjwv54cAAQIECBAgQIDASQLHTpJAP1bMeAIECBAgQIAAAQIECBAgcH8BJyBAgAABAgQIECBAgAABAgSuILCwBPoVIrQkAQIECBAgQIAAAQIECBAgsDABxyFAgAABAgQIECBAgAABAssUkEC/5L1YiwABAgQIECBAgAABAgQIEGhfQIQECBAgQIAAAQIECBAg0KyABHqzV3t8YGYQIEDg0gJJSpKy2Ww+lmP2SPr5yelrHLOfscsQmL5f5urTU871axv/eWNxnIX31nFe3l/neXmJhmKJAAAQAElEQVS/nefn/bffz3tsv9Ejv4+uEfvwnrvG2tb0fu7eA8N7zJMAAQIECBAgQIDAtQUk0K8tbP1bCdiHAAECBAgQIECAAAECBAgQaF9AhAQIECBAgAABAgQIELiqgAT6VXktTuBQAeMIECBAgAABAgQIECBAgACB9gVESIAAAQIECBAgQIDA0gUk0Jd+Q85HYA0CzkiAAAECBAgQIECAAAECBAi0LyBCAgQIECBAgAABAg8gIIH+AJcsRAIE3hbQe1mBJCXpS/c9dV05Zoekn5ukdHOHcswaxhIgQIAAAQIECBAgQIAAgdcCXhMgQIAAAQIECBA4REAC/RAlYwgQILBcAScjQIAAAQIECBAgQIAAAQIE2hcQIQECBAgQIECAwI0EJNBvBG0bAgQIEJgT0EaAAAECBAgQIECAAAECBAi0LyBCAgQIECBAgMB6BCTQ13NXTkqAAIHFCiTjx65PD5mM7cl2fW7sXFuyPTfJdOiLepKPHyM/dAwfBd89k7E/2a53Y4YyzO+eQ1vy85w3nsPYbt5Qhrbumby9RjdmKMP8Xc9kXGs6ZpifjP3Jdn0Y1z3n5nftyfa8ZGzrxgxluoY6AQIECBAgQIAAAQIECBBYvYAACBAgQIAAgYcSkEA/87p///vfl9/85jc7y/fff3/mDqYTIECAAIHrCFiVAAECBAgQIECAAAECBAgQaF9AhAQIECBAYE0Cf/rTn8o//dM/7cy9dnnZP/zhD1cNSQL9TN7f/e535T/+4z92ls8+++zMHUwnQIAAAQIEZgQ0ESBAgAABAgQIECBAgAABAu0LiJAAAQIEHkzgyy+/LN98883O3GuXl/3tb397VRUJ9KvyWpwAAQIECBAgMCegjQABAgQIECBAgAABAgQIEGhfQIQECBAgsEYBCfQ13pozEyBAYGECw3dfH/uchnHs3G78dP603vUNZdo+1Ie+Xc9h3K7nrnnT9l1zh/bp2Ln6MO4Sz7n1p22H7DEdP1c/ZI1LjZnuf6k1rXOkQKPDvbcavdiFhuX9ttCLaehY3mMNXeZKQhnecys5rmOuUGB4j3XPFR7fkQkQILBOAacmQIDAgwpIoD/oxQubAAECBAgQIPCoAuImQIAAAQIECBAgQIAAAQIE2hcQIQECBE4VkEA/Vc48AgQIECBAgAABArcXsCMBAgQIECBAgAABAgQIECDQvoAICRC4o4AE+h3xbU2AAAECBAgQIEDgsQRES4AAAQIECBAgQIAAAQIECLQvIEIC6xaQQF/3/Tk9AQIECBAgQIAAAQK3ErAPAQIECBAgQIAAAQIECBAg0L6ACB9eQAL94d8CAAgQIECAAAECBAgQeAQBMRIgQIAAAQIECBAgQIAAAQLtC4jwfAEJ9PMNrUCAAAECBAgQIECAAAEC1xWwOgECBAgQIECAAAECBAgQINC+wCIilEBfxDU4BAECBAgQOF1gs9mUoZy+ipkECBAgQIDA9QSsTIAAAQIECBAgQIAAAQIECKxF4PQE+loidE4CBAgQIECAAAECBAgQIEDgdAEzCRAgQIAAAQIECBAgQIDAAwk8bAL9ge5YqAQIECBAgAABAgQIECBA4GEFBE6AAAECBAgQIECAAAECBI4RkEA/Rms5Y52EAAECBAgQIECAAAECBAgQaF9AhAQIECBAgAABAgQIECBwYwEJ9BuD264TUAgQIECAAAECBAgQIECAAIH2BURIgAABAgQIECBAgACB9QlIoK/vzpz43gL2J0CAAAECBAgQIECAAAECBNoXECEBAgQIECBAgAABAg8pIIH+kNcu6EcWEDsBAgQIECBAgAABAgQIECDQvoAICRAgQIAAAQIECBA4TUAC/TQ3swgQuI+AXQkQIECAAAECBAgQIECAAIH2BURIgAABAgQIECBA4G4CEuh3o7cxAQKPJyBiAgQIECBAgAABAgQIECBAoH0BERIgQIAAAQIECKxZQAJ9zbfn7AQIELilgL0IECBAgAABAgQIECBAgACB9gVESIAAAQIECBB4cAEJ9Ad/AwifAAECjyIgTgIECBAgQIAAAQIECBAgQKB9ARESIECAAAECBM4VkEA/V9B8AgQIECBwfQE7ECBAgAABAgQIECBAgAABAu0LiJAAAQIECBBYgIAE+gIuwREIECBAgEDbAqIjQIAAAQIECBAgQIAAAQIE2hcQIQECBAgQaENAAr2NexQFAQIECBAgcC0B6xIgQIAAAQIECBAgQIAAAQLtC4iQAAECBAj8LCCB/jOEBwECBAgQIECgRQExESBAgAABAgQIECBAgAABAu0LiJAAAQIELicggX45SysRIECAAAECBAhcVsBqBAgQIECAAAECBAgQIECAQPsCIiRAgMCiBCTQF3UdDkOAAAECBAgQINCOgEgIECBAgAABAgQIECBAgACB9gVESIBAawIS6K3dqHgIECBAgAABAgQIXELAGgQIECBAgAABAgQIECBAgED7AiIkQGBLQAJ9i0QDAQIECBAgQIAAAQJrF3B+AgQIECBAgAABAgQIECBAoH0BERK4hoAE+jVUrUmAAAECBAgQIECAAIHTBcwkQIAAAQIECBAgQIAAAQIE2hcQ4UIFJNAXejGORYAAAQIECBAgQIAAgXUKODUBAgQIECBAgAABAgQIECDQvkC7EUqgt3u3IiNAgAABAgQIECBAgACBYwWMJ0CAAAECBAgQIECAAAECBNoXeCNCCfQ3cHQRIECAAAECbQokKclhpU2B20eVjN63392OBJYnkIz/TCTb9eWd+LwTJWOM5610+dnJeLbksPolT5GMe15iXWsQuJdAMr6Xk931e53vkH2T8dyHjL/VmGQ8V3J4/ZLnS8Z9L7mutQgQIECAAAECBAgsUWANCfQlujkTAQIECBAgQIAAAQIECBAgcFkBqxEgQIAAAQIECBAgQIAAgbsLSKCfeQX/9m//Vn7961/vLH/961/P3MF0AgQIECBAgAABAgQIECBAYPkCTkiAAAECBAgQIECAAAEC5wr88MMP5csvv9yZe/3Hf/zH8u///u/nbvPmfAn0N3n2d/7zP/9z+eMf/7izfP755/sXWfIIZyNAgAABAo0IJOPHTm42m3JoSfp5jTAIgwCBOwok/b9Pkuz9d1Ayjr3jkR9q60P/d6Ebd0mYbr2hXHJdaxE4WuCECcn476rhfbzvmYxzTtjy4afs8532XxLrWute8ozWIkCAAAECBAgQaEPg008/LX/605925l7/67/+60Ny/ZrRSqBfU9fadxdwAAIECBAgQIAAAQIECBAgQKB9ARESIECAAAECBAgQIPA4Au/evbtqsBLoV+W1OIGzBEwmQIAAAQIECBAgQIAAAQIE2hcQIQECBAgQIECAAAECCxKQQF/QZTgKgbYEREOAAAECBAgQIECAAAECBAi0LyBCAgQIECBAgAABAm0JSKC3dZ+iIUDgUgLWIUCAwM8Cw/c9/vxy65GM3+OZbNe3JrxqSLbnJHkxKklJMtuWvGx/MejnF0k+zE/yc0v5+DoZ28rzX0le9CV5bt3/k+SkeXMrJ9trJWPb3BxtBJYskPTv3+HfJ91z33m7MUNJ+vlJPk5L8vGfuY+NOyrJ/rHJOCbZrs8tnYzjpv3J2J709V390/ahnvRzkvnnMG6Jz2T+zEnfPnfmpO9L8qI7ydYdJ9ttLyY9v0jGMcl2/XmIHwJ3FRj+3dY9dx0k2X7vJmPb3Lzk7f7pnGQcm4z1uTHTtmk9Gecl2/Xp2CXVk+2zJi/b5s6bjGOG/mS7retL5tu7vq4kY3+yXe/G3LTYjAABAgQIECBAgMArAQn0VyBeEiBAoAUBMRAgQIAAAQIECBAgQIAAAQLtC4iQAAECBAgQIEDg8gIS6Jc3tSIBAgQInCdgNgECBAgQIECAAAECBAgQINC+gAgJECBAgAABAosUkEBf5LU4FAECBAisV8DJCRAgQIAAAQIECBAgQIAAgfYFREiAAAECBAi0KiCB3urNiosAAQIECJwi0PCczWZThpKkJC/LMaEn49xhzV3PZBw73SPp24+dN13jUvWkP0uSj0bTcyVj/3TPZGyfjh/qydg/nTdXT8axw/xdz2QcO7eWNgIEDhNIxn+Wdv3zNrQn49i51ZOxf5gzfU7n7GpP+jWm/XP1pB+XZLrs2fUkW//bkLxsm9skGcfMnXfaloxj59ba1Zb086ZrTccmfX8y/+/x6bxkHDtdQ53AKQK73ltJ/z47Zs2kn5Oc9j7edZbpGZJ+j+nYaX06dmiftiX9/OS0M07XOrWejGdItuu71k36sUNcbz2Tfuyutebak35O8tJmGJvM98+dIxnHDvM9CRC4goAlCRAgQIAAgZ0CEug7aXQQIECAAAECaxNwXgIECBAgQIAAAQIECBAgQKB9ARESIECAAIFrCkigX1PX2gQIECBAgACBwwWMJECAAAECBAgQIECAAAECBNoXECEBAgQILFxAAn3hF+R4BAgQIECAwOUF9n1UZHL4x0Ym49hku37q6adnPHWNQ+ddZq/t3Y5Zdzo22XZMxrbtnbQQIHCKwCX/uZuudcpZujnDGsn4z3uyXe/GXqMM+7/13Ldvsn3eZGzbN39X/3Cmff3duGTcL9mu71pDO4FzBbr33+uSnPYeTLbnJWPbvrNOz5GM84b2ffN39Q/zu2cyrpts13etcW57t/dbZd/6yfZZk5dt+9aY65+eaV9/8nK/5OXrufnaCBAgQGBJAs5CgACB9gUk0Nu/YxESIECAAAECBAjsE9BPgAABAgQIECBAgAABAgQItC8gQgIECBwgIIF+AJIhBAgQIECAAAECBJYs4GwECBAgQIAAAQIECBAgQIBA+wIiJEDgNgIS6LdxtgsBAgQIECBAgAABAvMCWgkQIECAAAECBAgQIECAAIH2BURIYDUCEuiruSoHJUCAAAECBK4pMP3exmk96b+Tcdfe07H76rvW0F5K0jsnKac4JuP8ZL5e/EXgKgLnL5psv2fPX3X/Csm47yn/3O3f4bgRSX+eS5wl6ddK5p/Hnezw0fvOPu0/fNX9I5Mxzukec/X9qxlB4HICc+/BZHy/7tppbt6utl1rXKM9Gc++6zxD+9z+yTg/ma/Pzbtk23C+Q56X3DcZ49239yX3tRYBAgQIECBA4HICVnokAQn0R7ptsRIgQIAAAQIECBAgQGAqoE6AAAECBAgQIECAAAECBAi0LyDCowQk0I/iMpgAAQIECBAgQIAAAQIEliLgHAQIECBAgAABAgQIECBAgED7AreOUAL91uL2I0CAAAECBO4ikIwfG3nLAySn7ZucNm+ILTlv/rDOOc/kcmdI3l5r30eBdv3nxGIugXMEuvdfV5L593HX97ok49hp3zHnSPo1jpkzHZv085NMm+9WT/Lh6x4OOcDUbK5+yBrXGJP0MSTplr9ZSfLBLsnN9rTRYwgkuct7K3l732Tsn/47IOnbr3U7Sb9+ktktpmfZ4NVMQgAAEABJREFUVZ+deOPGJB/u9cbbftgzya23tR8BAgQIECBAgACBLYELJ9C31tdAgAABAgQIECBAgAABAgQINCcgIAIECBAgQIAAAQIECBAg0KaABPr0XtUJECBAgAABAgQIECBAgACB9gVESIAAAQIECBAgQIAAAQIEdghIoO+AWWOzMxMgQIAAAQIECBAgQIAAAQLtC4iQAAECBAgQIECAAAECBK4nIIF+PVsrHydgNAECBAgQuKrA9Hsmk3z8jsXk7fowb3q4oa17JofN78bOrZHMz+/GD2U6b6gPfd0z2V6jax/KMOfSz2H97pmcd4ZujaEk56116TitR+BSAsN7vHsm2+/zZGzrxgwlGduHswx93TMZ+5Ox3vV1ZZjz+tn1DSUZ5yV9fejrnq/nnvM66ddP8mKZbp+uJJn9d3TX15UXkxbwojvTUJL5syd9+zCue17y6N16Q0n6vZLxOfR1z0vuay0C3XtqKMn4nkt21zebTRnmTAWHtu6Z7J6f5OP8buywRjLO6dqHMvR3z6EtGcd27XMl6cdM+4b53TPp+5Px2bUPZTpvCfXhXMl43mS+Poy95LmHNbtncrt9LxmDtQgQIECAAAECBB5HQAL9ce5apFcVsDgBAgQIECBAgAABAgQIECDQvoAICRAgQIAAAQIECBBoXUACvfUbFh+BQwSMIUCAAAECBAgQIECAAAECBNoXECEBAgQIECBAgAABAnsFJND3EhlAgMDSBZyPAAECBAgQIECAAAECBAgQaF9AhAQIECBAgAABAgRuISCBfgtlexAgQGC3gB4CBO4g0H334qFl3/H2rXPq/H3zpv1zZ9jVP7RP5wxtu56HjJ2OGerT9Ya27jltn6t3Y16X6bhp37RdncCaBKbv47n6NJZp/7R9qE/7p/W5/qHt9XM6b6hPxwxt3XNo7+pDGdp2PYdxr59z41+PGV4PY4fX3XNoO+fZrdOVc9YY5nbrvFWGcdPndPwh7dMxc/XpekN9Om5o657TdnUC5wp076lDyiH77Ftnbo3pnLn+aduusdP2oT6dN60P/dPnrv5p+yn1XXucu9Z03Wl9bt25/rm2ubmv26bzpvVh3Fzb0Lfyp+MTIECAAAECBAisREACfSUX5ZgECBBYpoBTESBAgAABAgQIECBAgAABAu0LiJAAAQIECBAg8DgCEuiPc9ciJUCAAIHXAl4TIECAAAECBAgQIECAAAEC7QuIkAABAgQIECBwhIAE+hFYhhIgQIAAgSUJOMu6BZKU5LAyfIzluiN2egIECBAgQIAAAQIECBA4RcAcAgQIECBA4LYCEui39bYbAQIECBAg0Av4OwECBAgQIECAAAECBAgQINC+gAgJECBAgMDqBCTQV3dlDkyAAAECBAjcX8AJCBAgQIAAAQIECBAgQIAAgfYFREiAAAECjygggf6Ity5mAgQIECBA4LEFRE+AAAECBAgQIECAAAECBAi0LyBCAgQIEDhJQAL9JLZ+Uvd9pN9++2359NNPyy9+8Yut0rX/5S9/Kd24foa/EyBAgAABAgR6ge7/Pji09DP8fRDwJECAAAECBAgQIECAAAECBNoXECEBAo8p8NNPP5V3795t5V2HXGyXf/3f//3fq+JIoJ/Bm6R88skn5Ycffih///vft0rX3l1wkuIvAgQIECBAgAABAqUUCAQIECBAgAABAgQIECBAgED7AiIkQOBEgS73+uOPP27lXYdcbJd//fzzz09c/bBpEuiHOe0c9atf/WpnX9fx/v377qEQIECAAAECBAgQaEBACAQIECBAgAABAgQIECBAgED7AiIksGyB7j9gvuYJJdCvqWttAgQIECBAgAABAgSWI+AkBAgQIECAAAECBAgQIECAQPsCIiRwpoAE+pmAphMgQIAAAQIECBAgQOAWAvYgQIAAAQIECBAgQIAAAQIE2hcQ4f0FJNDvfwdOQIAAAQIECBAgQIAAgdYFxEeAAAECBAgQIECAAAECBAi0L9BEhBLoTVyjIAgQIECAAAECBAgQIEDgegJWJkCAAAECBAgQIECAAAECBNoX6COUQO8d/J0AAQIECBAgQIAAAQIECLQpICoCBAgQIECAAAECBAgQIEDgYIHVJtAPjtBAAgQIECBAgAABAgQIECBAYLUCDk6AAAECBAgQIECAAAECBG4pIIF+S+1xLzUCBAgQIECAAAECBAgQIECgfQEREiBAgAABAgQIECBAgMDKBCTQV3ZhyziuUxAgQIAAAQIECBAgQIAAAQLtC4iQAAECBAgQIECAAAECjycggf54dy5iAgQIECBAgAABAgQIECBAgED7AiIkQIAAAQIECBAgQIDACQIS6CegmULgngL2JkCAAAECBAgQIECAAAECBNoXECEBAgQIECBAgAABAvcRkEC/j7tdCTyqgLgJECBAgAABAgQIECBAgACB9gVESIAAAQIECBAgQGC1AhLoq706BydA4PYCdiRAgAABAgQIECBAgAABAgTaFxAhAQIECBAgQIDAIwtIoD/y7YudAIHHEhAtAQIECBAgQIAAAQIECBAg0L6ACAkQIECAAAECBM4SkEA/i89kAgQIELiVgH0IECBAgAABAgQIECBAgACB9gVESIAAAQIECBC4t4AE+r1vwP4ECBAg8AgCYiRAgAABAgQIECBAgAABAgTaFxAhAQIECBAg0ICABHoDlygEAgQIECBwXQGrX0ogSUmOL5fav1sn6ffv6goBAgQIECBAgAABAgQIEBgF1AgQIECAAIFOQAK9U1AIECBAgACBdgVERoAAAQIECBAgQIAAAQIECLQvIEICBAgQIHAhAQn0C0FahgABAgQIECBwDQFrEiBAgAABAgQIECBAgAABAu0LiJAAAQIEliMggb6cu3ASAgQIECBAgEBrAuIhQIAAAQIECBAgQIAAAQIE2hcQIQECBJoSkEBv6joFQ4AAAQIECKxFYLPZlEPLJWMa9rzkmu2uJTICBAgQIECAAAECBAgQIECgfQEREiBA4KWABPpLD68IECBAgAABAgQItCEgCgIECBAgQIAAAQIECBAgQKB9ARESIHBxAQn0i5NakAABAgQIECBAgACBcwXMJ0CAAAECBAgQIECAAAECBNoXECGBJQpIoC/xVpyJAAECBAgQILBHIElJdpdd05N+zrQ/6duSTJs/rv+icfIiyccxyXZ9MlSVwKMJiJcAAQIECBAgQIAAAQIECBBoX0CEjQpIoDd6scIiQIAAAQIECBAgQIDAaQJmESBAgAABAgQIECBAgAABAu0LiHCXgAT6LhntBAgQIECAAAECBAgQILA+AScmQIAAAQIECBAgQIAAAQIE2he4YoQS6FfEtTQBAgQIECBAgAABAgQIEDhGwFgCBAgQIECAAAECBAgQIEDgvgK3SKDfN0K7EyBAgAABAgQWKJCkJLvL3JGTcfxmsylvlWQcO7fWrrZknDesPx2bbPcP414/k3HsdA11AgQIEGhWQGAECBAgQIAAAQIECBAgQGD1AhLoe6/QAAIECBAgQIAAAQIECBAgQKB9ARESIECAAAECBAgQIECAAIFSJNBbfxeIjwABAgQIECBAgAABAgQIEGhfQIQECBAgQIAAAQIECBAgcBEBCfSLMFrkWgLWJUCAAAECrQq8/rjz16/3xZ3k6I+A37dm1z89R/f6dZn2J9c5w+s9vSZAgAABAgTaFxAhAQIECBAgQIAAAQIEliIggb6Um3COFgXERIAAAQIECBAgQIAAAQIECLQvIEICBAgQIECAAAECBBoSkEA/8zJ//PHHN1fY1//mZJ0E7ipgcwIECBAgQIAAAQIECBAgQKB9ARESIECAAAECBAgQIDAVkECfapxQ/+abb8oXX3xRvvrqq9nyt7/9rUiinwBrCoFzBcwnQIAAAQIECBAgQIAAAQIE2hcQIQECBAgQIECAQFMC3377bXn//v1s3nXIx/7xj38s1/xLAv1M3d/85jelu8j//u//LnOlu+B3796duYvpBAg8moB4CRAgsE9gs9mUQ8u+tY7pT1KSvuzb/5h1jSVAgAABAgQIECDwiAJiJkCAAAECBAgQeCnQ/YfL33333WzedcjF/vrXv3456cKvJNAvDGo5AgQIECgICBAgQIAAAQIECBAgQIAAgfYFREiAAAECBAgQaFJAAr3JaxUUAQIECJwuYCYBAgQIECBAgAABAgQIECDQvoAICRAgQIAAAQLzAhLo8y5aCRAgQIDAOgWcmgABAgQIECBAgAABAgQIEGhfQIQECBAgQIDA1QQk0K9Ga2ECBAgQIEDgWAHjLyeQpCR9udyq+1dK+j2T7B9sBAECBAgQIECAAAECBAg8pICgCRAgQIDAkgUk0Jd8O85GgAABAgQIrEnAWQkQIECAAAECBAgQIECAAIH2BURIgAABAo0LSKA3fsHCI0CAAAECBAgcJmAUAQIECBAgQIAAAQIECBAg0L6ACAkQIEBgn4AE+j4h/QQIECBAgACBhQhsNpsylCQfP6I92a4P47rnJY/frTeU5Hb77o3BAAIECBAgQIAAAQIECBAgQKB9ARESIEDgBgIS6DdAtgUBAgQIECBAgACBtwT0ESBAgAABAgQIECBAgAABAu0LiJAAgXUISKCv456ckgABAgQIECBAgMBSBZyLAAECBAgQIECAAAECBAgQaF9AhAQeRkAC/WGuWqAECBAgQIAAAQIECGwLaCFAgAABAgQIECBAgAABAgTaFxAhgcMFJNAPtzKSAAECBAgQIHCWwGazKUM5a6HnycM6u57PQ2Z/hvHTzqGte07b99W78a/LdM60b9quToDABQUsRYAAAQIECBAgQIAAAQIECLQvIMKbCkig35TbZgQIECBAgAABAgQIECAwCHgSIECAAAECBAgQIECAAAEC7QusLUIJ9LXdmPMSIECAAAECBAgQIECAwBIEnIEAAQIECBAgQIAAAQIECBBoUOBVAr3BCIVEgAABAgQIECBAgAABAgQIvBLwkgABAgQIECBAgAABAgQIEJgTaCuBPhehNgIECBAgQIAAAQIECBAgQKAtAdEQIECAAAECBAgQIECAAIErCUigXwn2lGXNIUCAAAECBAgQIECAAAECBNoXECEBAgQIECBAgAABAgQILFdAAn25d7O2kzkvAQIECBAgQIAAAQIECBAg0L6ACAkQIECAAAECBAgQINC0gAR609cruMMFjCRAgAABAgQIECBAgAABAgTaFxAhAQIECBAgQIAAAQIE3haQQH/bRy+BdQg4JQECBAgQIECAAAECBAgQINC+gAgJECBAgAABAgQIELi6gAT61YltQIDAPgH9BAgQIECAAAECBAgQIECAQPsCIiRAgAABAgQIECCwBgEJ9DXckjMSILBkAWcjQIAAAQIECBAgQIAAAQIE2hcQIQECBAgQIECAwIMISKA/yEULkwABAvMCWgkQIECAAAECBAgQIECAAIH2BURIgAABAgQIEFEt9YEAABAASURBVCBwqIAE+qFSxhEgQIDA8gSciAABAgQIEPh/9u4F1u5srwv4Wj0t7UmmTVtnMq11RgUVRTFINBolatCIIEECAgYlxCBRAkaBoLmAUUgIJkgEMTxU0KsEFTEBJVdJCCQiDx/ABR885EKYodPpdJweOp2enunjOP/T2dPd073P2Xv/X2v9/p/J/ffs/X+stb6f9Tex850WAgQIECBAgACB+AISEiBAgAABAgQGFFCgD4htKgIECBAgMC/gMwECBAgQIECAAAECBAgQIBBfQEICBAgQIECgLgEFel37ZbUECBAgQKAUAesgQIAAAQIECBAgQIAAAQIE4gtISIAAAQIEJiegQJ/clgtMgAABAgQIpMSAAAECBAgQIECAAAECBAgQiC8gIQECBAgQWF9Agb6+mScIECBAgAABAuMKmJ0AAQIECBAgQIAAAQIECBCILyAhAQIECIwioEAfhd2kBAgQIECAAIHpCkhOgAABAgQIECBAgAABAgQIxBeQkAABArUKKNBr3TnrJkCAAAECBAgQGEPAnAQIECBAgAABAgQIECBAgEB8AQkJEJiwgAJ9wpsvOgECBAgQIECAwNQE5CVAgAABAgQIECBAgAABAgTiC0hIgEAbAQV6Gz3PEiBAgAABAgQIECAwnICZCBAgQIAAAQIECBAgQIAAgfgCEhIYWUCBPvIGmJ4AAQIECBAgQIAAgWkISEmAAAECBAgQIECAAAECBAjEF5CwfgEFess9fOmll9Lly5eXHru7uy1n8DgBAgQIECBAgAABAgRGF7AAAgQIECBAgAABAgQIECBAIL7A6AnffPPNdP78+aXda9PLXr16tdd1KtBb8r744ovp2rVrS4/t7e2WM3icAAECBAgQIECAAAECBNoJeJoAAQIECBAgQIAAAQIECBCoQeDs2bNpZ2dnaffa9LJXrlxZEqWb0wr0bhyNQoAAAQIECBAgQIAAAQIE+hEwKgECBAgQIECAAAECBAgQIDCYwGgF+mAJTUSAAAECBAgQIECAAAECBAiMJmBiAgQIECBAgAABAgQIECBQk4ACfbPd8hQBAgQIECBAgAABAgQIECAQX0BCAgQIECBAgAABAgQIEJiYgAJ9Yhv+KK5fCRAgQIAAAQIECBAgQIAAgfgCEhIgQIAAAQIECBAgQIDAugIK9HXF3D++gBUQIECAAAECBAgQIECAAAEC8QUkJECAAAECBAgQIECAwAgCCvQR0E05bQHpCRAgQIAAAQIECBAgQIAAgfgCEhIgQIAAAQIECBAgUKeAAr3OfbNqAmMJmJcAAQIECBAgQIAAAQIECBCILyAhAQIECBAgQIAAgckKKNAnu/WCE5iigMwECBAgQIAAAQIECBAgQIBAfAEJCRAgQIAAAQIECGwuoEDf3M6TBAgQGFbAbAQIECBAgAABAgQIECBAgEB8AQkJECBAgAABAgRGFVCgj8pvcgIECExHQFICBAgQIECAAAECBAgQIEAgvoCEBAgQIECAAIHaBRTote+g9RMgQIDAEALmIECAAAECBAgQIECAAAECBOILSEiAAAECBAgQSAp0LwEBAgQIEAgvICABAgQIECBAgAABAgQIECAQX0BCAgQIECBAoAsBBXoXisYgQIAAAQIE+hMwMgECBAgQIECAAAECBAgQIBBfQEICBAgQIFCIgAK9kI2wDAIECBAgQCCmgFQECBAgQIAAAQIECBAgQIBAfAEJCRAgQCCOgAI9zl5KQoAAAQIECBDoWsB4BAgQIECAAAECBAgQIECAQHwBCQkQIEBgTkCBPofhIwECBAgQIECAQCQBWQgQIECAAAECBAgQIECAAIH4AhISIECgWwEFereeRiNAgAABAgQIECDQjYBRCBAgQIAAAQIECBAgQIAAgfgCEhIgUJyAAr24LbEgAgQIECBAgAABAvULSECAAAECBAgQIECAAAECBAjEF5CQQEQBBXrEXZWJAAECBAgQIECAAIE2Ap4lQIAAAQIECBAgQIAAAQIE4gtISGChgAJ9IYuTBAgQIECAAAECBAgQqFXAugkQIECAAAECBAgQIECAAIH4AhL2JaBA70vWuAQIECBAgAABAgQIECCwvoAnCBAgQIAAAQIECBAgQIAAgfgCBSdUoBe8OZZGgAABAgQIECBAgAABAnUJWC0BAgQIECBAgAABAgQIECBQt8AqBXrdCa2eAAECBAgQIECAAAECBAgQWEXAPQQIECBAgAABAgQIECBAYPICEyjQJ7/HAAgQIECAAAECBAgQIECAwAQERCRAgAABAgQIECBAgAABAu0FFOjtDfsdwegECBAgQIAAAQIECBAgQIBAfAEJCRAgQIAAAQIECBAgQKAIAQV6EdsQdxGSESBAgAABAgQIECBAgAABAvEFJCRAgAABAgQIECBAgEAUAQV6lJ2Uow8BYxIgQIAAAQIECBAgQIAAAQLxBSQkQIAAAQIECBAgQIDAewIK9PcofCAQTUAeAgQIECBAgAABAgQIECBAIL6AhAQIECBAgAABAgQIdCmgQO9S01gECHQnYCQCBAgQIECAAAECBAgQIEAgvoCEBAgQIECAAAECBAoTUKAXtiGWQ4BADAEpCBAgQIAAAQIECBAgQIAAgfgCEhIgQIAAAQIECMQTUKDH21OJCBAg0FbA8wQIECBAoDqBnHPKef1jUdCcF4+z6N5o53IuN3vOi9eW89Pno+2LPAQIECBAoCcBwxIgQIAAAQIECCwQUKAvQHGKAAECBGoWsHYCBAgQIECAAAECBAgQIEAgvoCEBAgQIECAAIF+BBToLVwfPnyYXnvttXT+/Pmlx+7ubrp3716LWTxKgAABApMSEJYAAQIECBAgQIAAAQIECBCILyAhAQIECBAgsFBgb28vPfPMM0u713PnzqUbN24sfLarkwr0FpInTpxIZ8+eTTs7O0uP5p5Tp061mMWjBAgQIECgHgErJUCAAAECBAgQIECAAAECBOILSEiAAAECBPoSOH36dLp9+/bS7vXWrVvp4sWLfU1/MK4C/YBh81+2t7ePfLjZ5CNvcJEAAQIECBAoRcA6CBAIKLC/v58OH/Mxc84p50fH7Pzh+2ffZ9f9HE4g50d7k3N+b9LZfhz++d4N73zIOR/s6zsf/Y8AAQIECBAgQIDAYQHfCRAgQKByga2trV4TKNB75TU4AQIECBAgQGAoAfMQIECAAAECBAgQIECAAAEC8QUkJECAAIG+BRTofQsbnwABAgQIECBA4HgBdxAgQIAAAQIECBAgQIAAAQLxBSQkQIBABQIK9Ao2yRIJECBAgAABAgTKFrC6WAI5P/rrv3N+8ueilDk/eU/OT39f9Nz8uZyffibnxefmn9vkc86Lx8350flNxmyeyfnR8zkv/tnc0/dx+K90b74vmzPnxevM+enzi8bI+en7cj7+3PxYOR99//y9iz7nvNnzOR/9XM6Lry9aw/y5nBc/l/Oj8/P3+kyAAAECBAgQIECgVgHrJkBgGgIK9Gnss5QECBAgQIAAAQIElgk4T4AAAQIECBAgQIAAAQIECMQXkJAAgRUFFOgrQrmNAAECBAgQIECAAIESBayJAAECBAgQIECAAAECBAgQiC8gIYHhBBTow1mbiQABAgQIECBAgAABAk8K+EaAAAECBAgQIECAAAECBAjEF5CwKgEFelXbZbEECBAgQIAAAQIECJQgkPOj/7vOzf+d7UXH/BpzfnTvonM55/nTaZOxnhhgwZecc8r50TF/+bi55u9d9DnnnGbHorGac7PnZvc1P2fnVvnZjDE7Zvc3Yyw6ZteX/Zx/Zv6e2fjzP+evL3tu/p7Z5/kxZp9n15qf82PNrs//bO6ZHfP3Ljo3/9z850X3zs4t+zn//Pzn+ftn61l0rrk2/9zs87J758/7TIAAAQIECBAgQIAAAQLlC0xthQr0qe24vAQIECBAgAABAgQIECDQCDgIECBAgAABAgQIECBAgACB+AJrJ1Sgr03mAQIECBAgQIAAAQIECBAgMLaA+QkQIECAAAECBAgQIECAAIE+BMoq0PtIaEwCBAgQIECAAAECBAh0LDD7K6qbv7p60bHpdIvGms01/3PT8bt8bn49i9bdnOtjvmVjNvMdPpbdO3/+8DPN9/nrJX0e2vy47Met58jnXSRAgAABAgQIECBAgAABAoUKKNA73BhDESBAgAABAgQIECBAgAABAvEFJCRAgAABAgQIECBAgACBuAIK9Lh7u24y9xMgQIAAAQIECBAgQIAAAQLxBSQkQIAAAQIECBAgQIAAgSMEFOhH4LhUk4C1EiBAgAABAgQIECBAgAABAvEFJCRAgAABAgQIECBAgEC/Agr0fn2NTmA1AXcRIECAAAECBAhUJZBzTjnnJ9a8v7+fZscTFxZ8md13+OeCWw/myTk/8XPRfUOfy/nxmubnns80f76rz/Pjz3/edPz5MY77vOkcXT2X8zjmy9af89HrWfac8wQmLSA8AQIECBAgQIAAAQLFCyjQi98iCyRQvoAVEiBAgAABAgQIECBAgAABAvEFJCRAgAABAgQIECAwBQEF+hR2WUYCBI4ScI0AAQIECBAgQIAAAQIECBCILyAhAQIECBAgQIAAgZUEFOgrMbmJAAECpQpYFwECBAgQIECAAAECBAgQIBBfQEICBAgQIECAAIGhBBToQ0mbhwABAgSeFnCGAAECBAhMVCDnnHJ++tjf30+Hj4kSHcTO+Wmjgws9/5Lz0/PmnHue1fAECBAgQCCwgGgECBAgQIAAgYoEFOgVbZalEiBAgEBZAlZDgAABAgQIECBAgAABAgQIxBeQkAABAgQIEJiWgAJ9WvstLQECBAgQmAn4SYAAAQIECBAgQIAAAQIECMQXkJAAAQIECBBYU0CBviaY2wkQIECAAIESBKyBAAECqwnknJ/6q9Lnn5z/69Lnzx/3efbc/H05P55r/vyiz7Pnm5/z13N+PEbOjz7PX2/ub475c8d9bu6fHfP35vxo/Jwf/5y/ftzn2ZjNz/l7c95svPkxZp+bsWfH7FzOj8fP+fHn2fXm5+Fn5s8115rvsyPnx2Pk/Ojz7Frzs7l/djTfxzxm62h+zq8j50frzjnPn+79c7OO2TE/Wc754P/dzZ/zmQABAgQIECCwmYCnCBAgQIDA8AIK9OHNzUiAAAECBAhMXUB+AgQIECBAgAABAgQIECBAIL6AhAQIECBQpYACvcpts2gCBAgQIECAwHgCZiZAgAABAgQIECBAgAABAgTiC0hIgACBqQoo0Ke683ITIECAAAECBKYpIDUBAgQIECBAgAABAgQIECAQX0BCAgQIbCygQN+YzoMECBAgQIAAAQIEhhYw3zKB/f39tMmxaLxl46xz76IxFj3fnFt077Jzzf1tjmXjHnf+uDmPe37++nFjLbs+P8Zxn5eNMTt/3PPz12fPzP+cvz7/ef6e2ef56/OfZ9fnf85fn/88f8/s8/z14z5jeGlPAAAQAElEQVTPnml+Lrq3Ob/oaHvvouebc4vmco4AAQIECBAgQIAAgXkBnwkQGFNAgT6mvrkJECBAgAABAgQITElAVgIECBAgQIAAAQIECBAgQCC+gIQEKhdQoFe+gZZPgAABAgQIECBAgMAwAmYhQIAAAQIECBAgQIAAAQIE4gtISECB7h0gQIAAAQIECBAgQIBAfAEJCRAgQIAAAQIECBAgQIAAgfgCEnYgoEDvANEQBAgQIECAAAECBAgQINCngLEJECBAgAABAgQIECBAgACB+AJlJFSgl7EPVkGAAAECBAgQIECAAAECUQXkIkCAAAECBAgQIECAAAECBKoR2LhAryahhRIgQIAAAQIECBAgQIAAAQIbC3iQAAECBAgQIECAAAECBAhMSWCqBXpne/zgwYMjx9rb2zvyuosECBAgQIAAAQIECBAgQIBAbwIGJkCAAAECBAgQIECAAIFgAnfu3Ok1kQK9Je+tW7fS6dOn05kzZxYeDx8+TM3RcppDj/tKgAABAgQIECBAgAABAgQIxBeQkAABAgQIECBAgAABAtMSaP7w8smTJxf2rk0f2/Syd+/eTfv7+6mvfxToLWUvXLiQmj9l3mzUomN7ezudOIH5CWZfCBAgQIAAAQIECBAgQIAAgfgCEhIgQIAAAQIECBAgQGBNga2trXT//v20qHdtzjW97MWLF1POec2RV79ds7u6lTsJHAj4hQABAgQIECBAgAABAgQIEIgvICEBAgQIECBAgAABAtMUUKBPc9+lnq6A5AQIECBAgAABAgQIECBAgEB8AQkJECBAgAABAgQIENhQQIG+IZzHCBAYQ8CcBAgQIECAAAECBAgQIECAQHwBCQkQIECAAAECBAiMJ6BAH8/ezAQITE1AXgIECBAgQIAAAQIECBAgQCC+gIQECBAgQIAAAQJVCyjQq94+iydAgMBwAmYiQIAAAQIECBAgQIAAAQIE4gtISIAAAQIECBCYuoACfepvgPwECBCYhoCUBAgQIECAAAECBAgQIECAQHwBCQkQIECAAAECrQUU6K0JDUCAAAECBPoWMD4BAgQIECBAgAABAgQIECAQX0BCAgQIECBAoAQBBXoJu2ANBAgQIEAgsoBsBAgQIECAAAECBAgQIECAQHwBCQkQIECAQBABBXqQjRSDAAECBAgQ6EfAqAQIECBAgAABAgQIECBAgEB8AQkJECBAgMBMQIE+k/CTAAECBAgQIBBPQCICBAgQIECAAAECBAgQIEAgvoCEBAgQINChgAK9Q0xDESBAgAABAgQIdClgLAIECBAgQIAAAQIECBAgQCC+gIQECBAoS0CBXtZ+WA0BAgQIECBAgEAUATkIECBAgAABAgQIECBAgACB+AISEiAQTkCBHm5LBSJAgAABAgQIECDQXsAIBAgQIECAAAECBAgQIECAQHwBCQkQeFpAgf60iTMECBAgQIAAAQIECNQtYPUECBAgQIAAAQIECBAgQIBAfAEJCfQioEDvhdWgBAgQIECAAAECBAgQ2FTAcwQIECBAgAABAgQIECBAgEB8AQlLFVCgl7oz1kWAAAECBAgQIECAAIEaBayZAAECBAgQIECAAAECBAgQiC8QOKECPfDmikaAAAECBAgQIECAAAEC6wm4mwABAgQIECBAgAABAgQIEIgvcFRCBfpROq4RIECAAAECBAgQIECAAIF6BKyUAAECBAgQIECAAAECBAgQaClQQYHeMqHHCRAgQIAAAQIECBAgQIAAgQoELJEAAQIECBAgQIAAAQIECIwvoEDvew+MT4AAAQIECBAgQIAAAQIECMQXkJAAAQIECBAgQIAAAQIEQggo0ENsY38hjEyAAAECBAgQIECAAAECBAjEF5CQAAECBAgQIECAAAECBB4JKNAfOfg1poBUBAgQIECAAAECBAgQIECAQHwBCQkQIECAAAECBAgQINCZgAK9M0oDEehawHgECBAgQIAAAQIECBAgQIBAfAEJCRAgQIAAAQIECBAoSUCBXtJuWAuBSAKyECBAgAABAgQIECBAgAABAvEFJCRAgAABAgQIECAQTECBHmxDxSFAoBsBoxAgQIAAAQIECBAgQIAAAQLxBSQkQIAAAQIECBAgcFhAgX5YxHcCBAjULyABAQIECBAgQIAAAQIECBAgEF9AQgIECBAgQIAAgR4EFOg9oBqSAAECBNoIeJYAAQIECBAgQIAAAQIECBCILyAhAQIECBAgQKBMAQV6mftiVQQIECBQq4B1EyBAgAABAgQIECBAgAABAvEFJCRAgAABAgTCCijQw26tYAQIECBAYH0BTxAgQIAAAQIECBAgQIAAAQLxBSQkQIAAAQIElgso0JfbuEKAAAECBAjUJWC1BAgQIECAAAECBAgQIECAQHwBCQkQIECAQK8CCvReeQ1OgAABAgQIEFhVwH0ECBAgQIAAAQIECBAgQIBAfAEJCRAgQKB0AQV66TtkfQQIECBAgACBGgSskQABAgQIECBAgAABAgQIEIgvICEBAgQmIKBAb7nJV69eTZcuXVp67O3ttZzB4wQIECBAgAABAn0LGJ8AAQIECBAgQIAAAQIECBCILyAhAQLlC9y8eTM999xzS7vXppe9du1ar0EU6C15r1y5kl599dWlx+nTp1vO4HECBAgQIECAAAECRwq4SIAAAQIECBAgQIAAAQIECMQXkJDAJAQuXLiQbty4sbR7bXrZy5cv92qhQO+V1+AECBAgQIAAAQIECBwt4CoBAgQIECBAgAABAgQIECAQX0BCAvUIKNDr2SsrJUCAAAECBAgQIECgNAHrIUCAAAECBAgQIECAAAECBOILSDgpAQX6pLZbWAIECBAgQIAAAQIECDwW8IkAAQIECBAgQIAAAQIECBCILyDhegIK9PW83E2AAAECBAgQIECAAAECZQhYBQECBAgQIECAAAECBAgQIBBfYPCECvTByU1IgAABAgQIECBAgAABAgQIECBAgAABAgQIECBAgAABAiUKdFugl5jQmggQIECAAAECBAgQIECAAIFuBYxGgAABAgQIECBAgAABAgSCCijQ5zbWRwIECBAgQIAAAQIECBAgQCC+gIQECBAgQIAAAQIECBAgQGCZgAJ9mUx9562YAAECBAgQIECAAAECBAgQiC8gIQECBAgQIECAAAECBAj0KKBA7xHX0OsIuJcAAQIECBAgQIAAAQIECBCILyAhAQIECBAgQIAAAQIEyhZQoJe9P1ZXi4B1EiBAgAABAgQIECBAgAABAvEFJCRAgAABAgQIECBAILyAAj38FgtI4HgBdxAgQIAAAQIECBAgQIAAAQLxBSQkQIAAAQIECBAgQOB4AQX68UbuIECgbAGrI0CAAAECBAgQIECAAAECBOILSEiAAAECBAgQIEBgEAEF+iDMJiFAgMAyAecJECBAgAABAgQIECBAgACB+AISEiBAgAABAgQI1CKgQK9lp6yTAAECJQpYEwECBAgQIECAAAECBAgQIBBfQEICBAgQIECAwIQEFOgT2mxRCRAgQOBJAd8IECBAgAABAgQIECBAgACB+AISEiBAgAABAgTWEVCgr6PlXgIECBAgUI6AlRAgQIAAAQIECBAgQIAAAQLxBSQkQIAAAQIEBhZQoA8MbjoCBAgQIECgEXAQIECAAAECBAgQIECAAAEC8QUkJECAAAEC9Qko0OvbMysmQIAAAQIExhYwPwECBAgQIECAAAECBAgQIBBfQEICBAgQmKSAAn2S2y40AQIECBAgMGUB2QkQIECAAAECBAgQIECAAIH4AhISIECAwGYCCvTN3DxFgAABAgQIECAwjoBZCRAgQIAAAQIECBAgQIAAgfgCEhIgQGA0AQX6aPQmJkCAAAECBAgQmJ6AxAQIECBAgAABAgQIECBAgEB8AQkJEKhZQIFe8+5ZOwECBAgQIECAAIEhBcxFgAABAgQIECBAgAABAgQIxBeQkMDEBRToE38BxCdAgAABAgQIECAwFQE5CRAgQIAAAQIECBAgQIAAgfgCEhJoK6BAbyvoeQIECBAgQIAAAQIECPQvYAYCBAgQIECAAAECBAgQIEAgvoCEBQgo0AvYBEsgQIAAAQIECBAgQIBAbAHpCBAgQIAAAQIECBAgQIAAgfgCMRIq0GPsoxQECBAgQIAAAQIECBAg0JeAcQkQIECAAAECBAgQIECAAIH4Au8mVKC/C+EHAQIECBAgQIAAAQIECBCIKCATAQIECBAgQIAAAQIECBAgsLpArQX66gndSYAAAQIECBAgQIAAAQIECNQqYN0ECBAgQIAAAQIECBAgQGBQAQX6oNyzyfwkQIAAAQIECBAgQIAAAQIE4gtISIAAAQIECBAgQIAAAQK1CSjQa9uxEtZrDQQIECBAgAABAgQIECBAgEB8AQkJECBAgAABAgQIECAwQQEF+gQ3feqR5SdAgAABAgQIECBAgAABAgTiC0hIgAABAgQIECBAgACBTQQU6JuoeYbAeAJmJkCAAAECBAgQIECAAAECBOILSEiAAAECBAgQIECAwEgCCvSW8C+//HJ6/vnnlx53795tOYPHCUQSkIUAAQIECBAgQIAAAQIECBCILyAhAQIECBAgQIAAgc0E7t+/ny5cuLC0e3322WfTK6+8stngKz6lQF8RatltL7zwQrp+/frS48yZM8sedZ4AgdoErJcAAQIECBAgQIAAAQIECBCILyAhAQIECBAgQIDAaAInT55MN2/eXNq9vv766wflep8LVKD3qWtsAgQIFCRgKQQIECBAgAABAgQIECBAgEB8AQkJECBAgAABAtEFtra2eo2oQO+V1+AECBAg0JGAYQgQIECAAAECBAgQIECAAIH4AhISIECAAAECBEYXUKCPvgUWQIAAAQLxBSQkQIAAAQIECBAgQIAAAQIE4gtISIAAAQIECEQQUKBH2EUZCBAgQIBAnwLGJkCAAAECBAgQIECAAAECBOILSEiAAAECBAgcCCjQDxj8QoAAAQIECEQVkIsAAQIECBAgQIAAAQIECBCILyAhAQIECBDoSkCB3pWkcQgQIECAAAEC3QsYkQABAgQIECBAgAABAgQIEIgvICEBAgQIFCSgQC9oMyyFAAECBAgQIBBLQBoCBAgQIECAAAECBAgQIEAgvoCEBAgQiCWgQI+1n9IQIECAAAECBAh0JWAcAgQIECBAgAABAgQIECBAIL6AhAQIEDgkoEA/BOIrAQIECBAgQIAAgQgCMhAgQIAAAQIECBAgQIAAAQLxBSQkQKB7AQV696ZGJECAAAECBAgQIECgnYCnCRAgQIAAAQIECBAgQIAAgfgCEhIoUkCBXuS2WBQBAgQIECBAgAABAvUKWDkBAgQIECBAgAABAgQIECAQX0DCqAIK9Kg7KxcBAgQIECBAgAABAgQ2EfAMAQIECBAgQIAAAQIECBAgEF9AwqUCCvSlNC4QINCHQM455ezImUHODHJmkDODnBnkXrqb4wAAEABJREFUzCBnBjkzyJlBzu0NcjZGzgxyZpAzg5wZ5MwgZwY5M8iZQc4McmaQ87AGffz7ZWMSIEBgJtDnTwV6n7rGJkCAAAECBAgQIECAAAECqwu4kwABAgQIECBAgAABAgQIEBhZYIACfeSEpidAgAABAgQIECBAgAABAgQGEDAFAQIECBAgQIAAAQIECBCoX0CBftweuk6AAAECBAgQIECAAAECBAjEF5CQAAECBAgQIECAAAECBAi8I6BAfwch8v9kI1CKwP7+fnIw8A54B7wD3gHvgHfAO+Ad8A54B7wD/bwDXLl6B7wD3gHvgHfAO1DyO1DKv6e2DgIECKwioEBfRck9YwmYlwABAgQIECBAgAABAgQIEIgvICEBAgQIECBAgAABAgSKEVCgF7MVFhJPQCICBAgQIECAAAECBAgQIEAgvoCEBAgQIECAAAECBAhEElCgR9pNWQh0KWAsAgQIECBAgAABAgQIECBAIL6AhAQIECBAgAABAgQIPCGgQH+CwxcCBKIIyEGAAAECBAgQIECAAAECBAjEF5CQAAECBAgQIECAQNcCCvSuRY1HgACB9gJGIECAAAECBAgQIECAAAECBOILSEiAAAECBAgQIFCggAK9wE2xJAIECNQtYPUECBAgQIAAAQIECBAgQIBAfAEJCRAgQIAAAQIxBRToMfdVKgIECBDYVMBzBAgQIECAAAECBAgQIECAQHwBCQkQIECAAAECSwQU6EtgnCZAgAABAjUKWDMBAgQIECBAgAABAgQIECAQX0BCAgQIECBAoD8BBXp/tkYmQIAAAQIE1hNwNwECBAgQIECAAAECBAgQIBBfQEICBAgQIFC0gAK96O2xOAIECBAgQKAeASslQIAAAQIECBAgQIAAAQIE4gtISIAAAQLRBRTo0XdYPgIECBAgQIDAKgLuIUCAAAECBAgQIECAAAECBOILSEiAAAECxwoo0I8lcgMBAgQIECBAgEDpAtZHgAABAgQIECBAgAABAgQIxBeQkAABAkMIKNCHUDYHAQIECBAgQIAAgeUCrhAgQIAAAQIECBAgQIAAAQLxBSQkQKASAQV6JRtlmQQIECBAgAABAgTKFLAqAgQIECBAgAABAgQIECBAIL6AhASmI6BAn85eS0qAAAECBAgQIECAwGEB3wkQIECAAAECBAgQIECAAIH4AhISWENAgb4G1uFb9/f3087OTjp58mQ6derUU0dz/vbt26m57/CzvhMgQIAAAQIECBAgQKCtgOcJECBAgAABAgQIECBAgACB+AJTSvjw4cO0tbX1VO8662Kb/vWtt97qlUSB3oI355xOnDiR7t+/n+7du/fU0ZxvNjjnnPxDgAABAgQIECBAgAABAk8I+EKAAAECBAgQIECAAAECBAjEF1grYdO9Pnjw4KneddbFNv3rmTNn1hpz3ZsV6OuKHbr/3Llzh848+XV7e/vJE74RIECAAAECBAgQIECAQAABEQgQIECAAAECBAgQIECAAIExBJo/wNznvE8W6H3OZGwCBAgQIECAAAECBAgQIECgDAGrIECAAAECBAgQIECAAAECBBYKhCrQFyZ0kgABAgQIECBAgAABAgQIEAglIAwBAgQIECBAgAABAgQIEOhLQIHel+z643qCAAECBAgQIECAAAECBAgQiC8gIQECBAgQIECAAAECBAgULKBAL3hz6lqa1RIgQIAAAQIECBAgQIAAAQLxBSQkQIAAAQIECBAgQIBAbAEFeuz9lW5VAfcRIECAAAECBAgQIECAAAEC8QUkJECAAAECBAgQIECAwDECCvRjgFwmUIOANRIgQIAAAQIECBAgQIAAAQLxBSQkQIAAAQIECBAgQKB/AQV6/8ZmIEDgaAFXCRAgQIAAAQIECBAgQIAAgfgCEhIgQIAAAQIECBCoQkCBXsU2WSQBAuUKWBkBAgQIECBAgAABAgQIECAQX0BCAgQIECBAgACBqQgo0Key03ISIEBgkYBzBAgQIECAAAECBAgQIECAQHwBCQkQIECAAAECBFYWUKCvTOVGAgQIEChNwHoIECBAgAABAgQIECBAgACB+AISEiBAgAABAgSGFFCgD6ltLgIECBAg8FjAJwIECBAgQIAAAQIECBAgQCC+gIQECBAgQIBAZQIK9Mo2zHIJECBAgEAZAlZBgAABAgQIECBAgAABAgQIxBeQkAABAgQITE9AgT69PZeYAAECBAgQIECAAAECBAgQIECAAAECBAjEF5CQAAECBAhsIKBA3wDNIwQIECBAgACBMQXMTYAAAQIECBAgQIAAAQIECMQXkJAAAQIExhFQoI/jblYCBAgQIECAwFQF5CZAgAABAgQIECBAgAABAgTiC0hIgACBagUU6NVunYUTIECAAAECBAgML2BGAgQIECBAgAABAgQIECBAIL6AhAQITFlAgT7l3ZedAAECBAgQIEBgWgLSEiBAgAABAgQIECBAgAABAvEFJCRAoJWAAr0Vn4cJECBAgAABAgQIEBhKwDwECBAgQIAAAQIECBAgQIBAfAEJCYwtoEAfewfMT4AAAQIECBAgQIDAFARkJECAAAECBAgQIECAAAECBOILSBhAQIEeYBNFIECAAAECBAgQIECAQL8CRidAgAABAgQIECBAgAABAgTiC0jYCCjQGwUHAQIECBAgQIAAAQIECMQVkIwAAQIECBAgQIAAAQIECBCIL9BRQgV6R5CGIUCAAAECBAgQIECAAAECfQgYkwABAgQIECBAgAABAgQIEBhOYKwCfbiEZiJAgAABAgQIECBAgAABAgTGEjAvAQIECBAgQIAAAQIECBCoSkCBvtF2eYgAAQIECBAgQIAAAQIECBCILyAhAQIECBAgQIAAAQIECExNQIE+tR1v8joIECBAgAABAgQIECBAgACB+AISEiBAgAABAgQIECBAgMDaAgr0tck8MLaA+QkQIECAAAECBAgQIECAAIH4AhISIECAAAECBAgQIEBgDAEF+hjq5pyygOwECBAgQIAAAQIECBAgQIBAfAEJCRAgQIAAAQIECBCoVECBXunGWTaBcQTMSoAAAQIECBAgQIAAAQIECMQXkJAAAQIECBAgQIDAdAUU6NPde8kJTE9AYgIECBAgQIAAAQIECBAgQCC+gIQECBAgQIAAAQIEWggo0FvgeZQAAQJDCpiLAAECBAgQIECAAAECBAgQiC8gIQECBAgQIECAwLgCCvRx/c1OgACBqQjISYAAAQIECBAgQIAAAQIECMQXkJAAAQIECBAgUL2AAr3lFj548ODIEY67fuTDLhIgQIBAIQKWQYAAAQIECBAgQIAAAQIECMQXkJAAAQIECBAgkJICveVbcOPGjXT+/Pl08eLFhcfbb7+dlOgtkT1OgAABAu0EPE2AAAECBAgQIECAAAECBAjEF5CQAAECBAgEENjZ2Unb29sLe9dZH3v9+vXU5z8K9Ja6ly5dSs1GvvHGG2nR0Wzw1tZWy1k8ToAAAQIEpisgOQECBAgQIECAAAECBAgQIBBfQEICBAgQINAINH9weXd3d2HvOutin3/++ebW3g4Fem+0BiZAgAABAgQIJAQECBAgQIAAAQIECBAgQIBAfAEJCRAgQCCQgAI90GaKQoAAAQIECBDoVsBoBAgQIECAAAECBAgQIECAQHwBCQkQIEBgXkCBPq/hMwECBAgQIECAQBwBSQgQIECAAAECBAgQIECAAIH4AhISIECgYwEFeseghiNAgAABAgQIECDQhYAxCBAgQIAAAQIECBAgQIAAgfgCEhIgUJ6AAr28PbEiAgQIECBAgAABArULWD8BAgQIECBAgAABAgQIECAQX0BCAiEFFOght1UoAgQIECBAgAABAgQ2F/AkAQIECBAgQIAAAQIECBAgEF9AQgKLBRToi12cJUCAAAECBAgQIECAQJ0CVk2AAAECBAgQIECAAAECBAjEF5CwNwEFem+0BiZAgAABAgQIECBAgACBdQXcT4AAAQIECBAgQIAAAQIECMQXKDmhAr3k3bE2AgQIECBAgAABAgQIEKhJwFoJECBAgAABAgQIECBAgACBygVWKNArT2j5BAgQIECAAAECBAgQIECAwAoCbiFAgAABAgQIECBAgAABAgTiF+j2mAABAgQIECBAgAABAgQIEIgvICEBAgQIECBAgAABAgQIEOhAQIHeAWKfQxibAAECBAgQIECAAAECBAgQiC8gIQECBAgQIECAAAECBAiUIaBAL2Mfoq5CLgIECBAgQIAAAQIECBAgQCC+gIQECBAgQIAAAQIECBAII6BAD7OVgnQvYEQCBAgQIECAAAECBAgQIEAgvoCEBAgQIECAAAECBAgQeCygQH9s4ROBWALSECBAgAABAgQIECBAgAABAvEFJCRAgAABAgQIECBAoFMBBXqnnAYjQKArAeMQIECAAAECBAgQIECAAAEC8QUkJECAAAECBAgQIFCagAK9tB2xHgIEIgjIQIAAAQIECBAgQIAAAQIECMQXkJAAAQIECBAgQCCggAI94KaKRIAAgXYCniZAgAABAgQIECBAgAABAgTiC0hIgAABAgQIECCwSECBvkjFOQIECBCoV8DKCRAgQIAAAQIECBAgQIAAgfgCEhIgQIAAAQIEehJQoPcEa1gCBAgQILCJgGcIECBAgAABAgQIECBAgACB+AISEiBAgAABAuUKKNDL3RsrI0CAAAECtQlYLwECBAgQIECAAAECBAgQIBBfQEICBAgQIBBaQIEeenuFI0CAAAECBFYXcCcBAgQIECBAgAABAgQIECAQX0BCAgQIECBwtIAC/WgfVwkQIECAAAECdQhYJQECBAgQIECAAAECBAgQIBBfQEICBAgQ6F1Agd47sQkIECBAgAABAgSOE3CdAAECBAgQIECAAAECBAgQiC8gIQECBGoQUKDXsEvWSIAAAQIECBAgULKAtREgQIAAAQIECBAgQIAAAQLxBSQkQGAiAgr0iWy0mAQIECBAgAABAgQWCzhLgAABAgQIECBAgAABAgQIxBeQkACBVQUU6KtKuY8AAQIECBAgQIAAgfIErIgAAQIECBAgQIAAAQIECBCILyAhgQEFFOgDYpuKAAECBAgQIECAAAEC8wI+EyBAgAABAgQIECBAgAABAvEFJKxLQIFe135ZLQECBAgQIECAAAECBEoRsA4CBAgQIECAAAECBAgQIEAgvsDkEirQJ7flAhMgQIAAAQIECBAgQIBASgwIECBAgAABAgQIECBAgACB+ALrJ1Sgr2/mCQIECBAgQIAAAQIECBAgMK6A2QkQIECAAAECBAgQIECAAIFeBIoq0HtJaFACBAgQIECAAAECBAgQIECgKAGLIUCAAAECBAgQIECAAAECpQoo0FvuzEsvvZQuX77cHAuP3d3dljN4nAABAgQIECBAgAABAgQIEChIwFIIECBAgAABAgQIECBAoCeBN998M50/f35h7zrrZK9eva9nSQAAABAASURBVNrT7I+GVaA/ctj41xdffDFdu3Zt6bG9vb3x2MM+aDYCBAgQIECAAAECBAgQIEAgvoCEBAgQIECAAAECBAgQKFfg7NmzaWdnZ2n32vSyV65c6TWAAr1XXoMPJmAiAgQIECBAgAABAgQIECBAIL6AhAQIECBAgAABAgQIEOhZQIHeM7DhCawi4B4CBAgQIECAAAECBAgQIEAgvoCEBAgQIECAAAECBAiUL6BAL3+PrJBA6QLWR4AAAQIECBAgQIAAAQIECMQXkJAAAQIECBAgQIDAJAQU6JPYZiEJEFgu4AoBAgQIECBAgAABAgQIECAQX0BCAgQIECBAgAABAqsJKNBXc3IXAQIEyhSwKgIECBAgQIAAAQIECBAgQCC+gIQECBAgQIAAAQKDCSjQB6M2EQECBAgcFvCdAAECBAgQIECAAAECBAgQiC8gIQECBAgQIECgJgEFek27Za0ECBAgUJKAtRAgQIAAAQIECBAgQIAAAQLxBSQkQIAAAQIEJiagQJ/YhotLgAABAgQeCfiVAAECBAgQIECAAAECBAgQiC8gIQECBAgQILCugAJ9XTH3EyBAgAABAuMLWAEBAgQIECBAgAABAgQIECAQX0BCAgQIECAwgoACfQR0UxIgQIAAAQLTFpCeAAECBAgQIECAAAECBAgQiC8gIQECBAjUKaBAr3PfrJoAAQIECBAgMJaAeQkQIECAAAECBAgQIECAAIH4AhISIEBgsgIK9MluveAECBAgQIAAgSkKyEyAAAECBAgQIECAAAECBAjEF5CQAAECmwso0De38yQBAgQIECBAgACBYQXMRoAAAQIECBAgQIAAAQIECMQXkJAAgVEFFOij8pucAAECBAgQIECAwHQEJCVAgAABAgQIECBAgAABAgTiC0hIoHYBBXrtO2j9BAgQIECAAAECBAgMIWAOAgQIECBAgAABAgQIECBAIL6AhASSAt1LQIAAAQIECBAgQIAAgfACAhIgQIAAAQIECBAgQIAAAQLxBSTsQkCB3oWiMQgQIECAAAECBAgQIECgPwEjEyBAgAABAgQIECBAgAABAvEFCkmoQC9kIyyDAAECBAgQIECAAAECBGIKSEWAAAECBAgQIECAAAECBAjUI7BpgV5PQislQIAAAQIECBAgQIAAAQIENhXwHAECBAgQIECAAAECBAgQmJTARAv0Se2xsAQIECBAgAABAgQIECBAYKICYhMgQIAAAQIECBAgQIAAgfUEFOjreZVxt1UQIECAAAECBAgQIECAAAEC8QUkJECAAAECBAgQIECAAIHBBRTog5ObkAABAgQIECBAgAABAgQIECAQX0BCAgQIECBAgAABAgQI1CigQK9x16x5TAFzEyBAgAABAgQIECBAgAABAvEFJCRAgAABAgQIECBAYKICCvSJbrzYUxWQmwABAgQIECBAgAABAgQIEIgvICEBAgQIECBAgAABApsKKNA3lfMcAQLDC5iRAAECBAgQIECAAAECBAgQiC8gIQECBAgQIECAAIERBRToI+KbmgCBaQlIS4AAAQIECBAgQIAAAQIECMQXkJAAAQIECBAgQKBuAQV63ftn9QQIEBhKwDwECBAgQIAAAQIECBAgQIBAfAEJCRAgQIAAAQKTF1CgT/4VAECAAIEpCMhIgAABAgQIECBAgAABAgQIxBeQkAABAgQIECDQXkCB3t7QCAQIECBAoF8BoxMgQIAAAQIECBAgQIAAAQLxBSQkQIAAAQIEihBQoBexDRZBgAABAgTiCkhGgAABAgQIECBAgAABAgQIxBeQkAABAgQIRBFQoEfZSTkIECBAgACBPgSMSYAAAQIECBAgQIAAAQIECMQXkJAAAQIECLwnoEB/j8IHAgQIECBAgEA0AXkIECBAgAABAgQIECBAgACB+AISEiBAgECXAgr0FpoPHz5Mr732Wjp//vzSY3d3N927d6/FLB4lQIAAAQIECExUQGwCBAgQIECAAAECBAgQIEAgvoCEBAgQmBPY29tLzzzzzNLu9dy5c+nGjRtzT3T/UYHewvTEiRPp7NmzaWdnZ+nR3HPq1KkWs3iUAAECBAgQIECgRgFrJkCAAAECBAgQIECAAAECBOILSEiAQLcCp0+fTrdv317avd66dStdvHix20kPjaZAPwSy7tft7e0jH2k2+cgbXCRAgAABAgQIECBQnoAVESBAgAABAgQIECBAgAABAvEFJCRQpcDW1lav61ag98prcAIECBAgQIAAAQIEhhcwIwECBAgQIECAAAECBAgQIBBfQEIC/Qgo0PtxNSoBAgQIECBAgAABAgQ2E/AUAQIECBAgQIAAAQIECBAgEF9AwmIFFOjFbo2FESBAgAABAgQIECBAoD4BKyZAgAABAgQIECBAgAABAgTiC0ROqECPvLuyESBAgAABAgQIECBAgMA6Au4lQIAAAQIECBAgQIAAAQIE4gscmVCBfiSPiwQIECBAgAABAgQIECBAoBYB6yRAgAABAgQIECBAgAABAgTaCpRfoLdN6HkCBAgQIECAAAECBAgQIECgfAErJECAAAECBAgQIECAAAECBQgo0HveBMMTIECAAAECBAgQIECAAAEC8QUkJECAAAECBAgQIECAAIEYAgr0GPvYVwrjEiBAgAABAgQIECBAgAABAvEFJCRAgAABAgQIECBAgACBdwUU6O9C+BFRQCYCBAgQIECAAAECBAgQIEAgvoCEBAgQIECAAAECBAgQ6E5Agd6dpZEIdCtgNAIECBAgQIAAAQIECBAgQCC+gIQECBAgQIAAAQIECBQloEAvajsshkAcAUkIECBAgAABAgQIECBAgACB+AISEiBAgAABAgQIEIgmoECPtqPyECDQhYAxCBAgQIAAAQIECBAgQIAAgfgCEhIgQIAAAQIECBB4SkCB/hSJEwQIEKhdwPoJECBAgAABAgQIECBAgACB+AISEiBAgAABAgQI9CGgQO9D1ZgECBAgsLmAJwkQIECAAAECBAgQIECAAIH4AhISIECAAAECBAoVUKAXujGWRYAAAQJ1Clg1AQIECBAgQIAAAQIECBAgEF9AQgIECBAgQCCugAI97t5KRoAAAQIE1hVwPwECBAgQIECAAAECBAgQIBBfQEICBAgQIEDgCAEF+hE4LhEgQIAAAQI1CVgrAQIECBAgQIAAAQIECBAgEF9AQgIECBAg0K+AAr1fX6MTIECAAAECBFYTcBcBAgQIECBAgAABAgQIECAQX0BCAgQIECheQIFe/BZZIAECBAgQIECgfAErJECAAAECBAgQIECAAAECBOILSEiAAIEpCCjQp7DLMhIgQIAAAQIECBwl4BoBAgQIECBAgAABAgQIECAQX0BCAgQIrCSgQF+JyU0ECBAgQIAAAQIEShWwLgIECBAgQIAAAQIECBAgQCC+gIQECAwloEAfSto8BAgQIECAAAECBAg8LeAMAQIECBAgQIAAAQIECBAgEF9AQgIVCSjQK9osSyVAgAABAgQIECBAoCwBqyFAgAABAgQIECBAgAABAgTiC0g4LQEF+rT2W1oCBAgQIECAAAECBAjMBPwkQIAAAQIECBAgQIAAAQIE4gtIuKaAAn1NMLcTIECAAAECBAgQIECAQAkC1kCAAAECBAgQIECAAAECBAjEFxg+oQJ9eHMzEiBAgAABAgQIECBAgMDUBeQnQIAAAQIECBAgQIAAAQIEihTotEAvMqFFESBAgAABAgQIECBAgAABAp0KGIwAAQIECBAgQIAAAQIECEQVUKA/3lmfCBAgQIAAAQIECBAgQIAAgfgCEhIgQIAAAQIECBAgQIAAgaUCCvSlNLVdsF4CBAgQIECAAAECBAgQIEAgvoCEBAgQIECAAAECBAgQINCngAK9T11jry7gTgIECBAgQIAAAQIECBAgQCC+gIQECBAgQIAAAQIECBAoXECBXvgGWV4dAlZJgAABAgQIECBAgAABAgQIxBeQkAABAgQIECBAgACB+AIK9JZ7/ODBgyNH2NvbO/K6iwQKELAEAgQIECBAgAABAgQIECBAIL6AhAQIECBAgAABAgRCCNy5c6fXHAr0lry3bt1Kp0+fTmfOnFl4PHz4MDVHy2k8ToDAUgEXCBAgQIAAAQIECBAgQIAAgfgCEhIgQIAAAQIECExBoPnDyydPnlzYuzZ9bNPL3r17N+3v76e+/lGgt5S9cOFCav6UebNRi47t7e104gTmlsweJxBXQDICBAgQIECAAAECBAgQIEAgvoCEBAgQIECAAAECKwlsbW2l+/fvp0W9a3Ou6WUvXryYcs4rjbfJTZrdTdQ8Q4AAAQIHAn4hQIAAAQIECBAgQIAAAQIE4gtISIAAAQIECBCYkoACfUq7LSsBAgQIzAv4TIAAAQIECBAgQIAAAQIECMQXkJAAAQIECBAgsJaAAn0tLjcTIECAAIFSBKyDAAECBAgQIECAAAECBAgQiC8gIQECBAgQIDC0gAJ9aHHzESBAgAABAikxIECAAAECBAgQIECAAAECBOILSEiAAAECBCoUUKBXuGmWTIAAAQIECIwrYHYCBAgQIECAAAECBAgQIEAgvoCEBAgQIDBNAQX6NPddagIECBAgQGC6ApITIECAAAECBAgQIECAAAEC8QUkJECAAIENBRToG8J5jAABAgQIECBAYAwBcxIgQIAAAQIECBAgQIAAAQLxBSQkQIDAeAIK9PHszUyAAAECBAgQIDA1AXkJECBAgAABAgQIECBAgACB+AISEiBQtYACverts3gCBAgQIECAAAECwwmYiQABAgQIECBAgAABAgQIEIgvICGBqQso0Kf+BshPgAABAgQIECBAYBoCUhIgQIAAAQIECBAgQIAAAQLxBSQk0FpAgd6a0AAECBAgQIAAAQIECBDoW8D4BAgQIECAAAECBAgQIECAQHwBCUsQUKCXsAvWQIAAAQIECBAgQIAAgcgCshEgQIAAAQIECBAgQIAAAQLxBYIkVKAH2UgxCBAgQIAAAQIECBAgQKAfAaMSIECAAAECBAgQIECAAAEC8QVmCRXoMwk/CRAgQIAAAQIECBAgQIBAPAGJCBAgQIAAAQIECBAgQIAAgTUEKi3Q10joVgIECBAgQIAAAQIECBAgQKBSAcsmQIAAAQIECBAgQIAAAQLDCijQh/V+NJtfCRAgQIAAAQIECBAgQIAAgfgCEhIgQIAAAQIECBAgQIBAdQIK9Oq2bPwFWwEBAgQIECBAgAABAgQIECAQX0BCAgQIECBAgAABAgQITFFAgT7FXZ92ZukJECBAgAABAgQIECBAgACB+AISEiBAgAABAgQIECBAYCMBBfpGbB4iMJaAeQkQIECAAAECBAgQIECAAIH4AhISIECAAAECBAgQIDCWgAJ9LHnzEpiigMwECBAgQIAAAQIECBAgQIBAfAEJCRAgQIAAAQIECFQsoECvePMsnQCBYQXMRoAAAQIECBAgQIAtlCo5AAAQAElEQVQAAQIECMQXkJAAAQIECBAgQGDaAgr0ae+/9AQITEdAUgIECBAgQIAAAQIECBAgQCC+gIQECBAgQIAAAQItBRToLQE9ToAAAQJDCJiDAAECBAgQIECAAAECBAgQiC8gIQECBAgQIEBgfAEF+vh7YAUECBAgEF1APgIECBAgQIAAAQIECBAgQCC+gIQECBAgQIBACAEFeohtFIIAAQIECPQnYGQCBAgQIECAAAECBAgQIEAgvoCEBAgQIECAwCMBBfojB78SIECAAAECMQWkIkCAAAECBAgQIECAAAECBOILSEiAAAECBDoTUKB3RmkgAgQIECBAgEDXAsYjQIAAAQIECBAgQIAAAQIE4gtISIAAAQIlCSjQS9oNayFAgAABAgQIRBKQhQABAgQIECBAgAABAgQIEIgvICEBAgSCCSjQg22oOAQIECBAgAABAt0IGIUAAQIECBAgQIAAAQIECBCILyAhAQIEDgso0A+L+E6AAAECBAgQIECgfgEJCBAgQIAAAQIECBAgQIAAgfgCEhIg0IOAAr0HVEMSIECAAAECBAgQINBGwLMECBAgQIAAAQIECBAgQIBAfAEJCZQpoEAvc1+sigABAgQIECBAgACBWgWsmwABAgQIECBAgAABAgQIEIgvIGFYAQV6y629evVqunTp0tJjb2+v5QweJ0CAAAECBAgQIECAwHACZiJAgAABAgQIECBAgAABAgTiC5Sa8ObNm+m5555b2r02vey1a9d6Xb4CvSXvlStX0quvvrr0OH36dMsZPE6AAAECBAgQIECAAAECKwq4jQABAgQIECBAgAABAgQIEKhY4MKFC+nGjRtLu9eml718+XKvCRXovfIanAABAgQIECBAgAABAgQIrCrgPgIECBAgQIAAAQIECBAgQGBsgf4L9LETmp8AAQIECBAgQIAAAQIECBDoX8AMBAgQIECAAAECBAgQIEAggIAC/ZhNdJkAAQIECBAgQIAAAQIECBCILyAhAQIECBAgQIAAAQIECBBoBBTojULcQzICBAgQIECAAAECBAgQIEAgvoCEBAgQIECAAAECBAgQINCRgAK9I0jD9CFgTAIECBAgQIAAAQIECBAgQCC+gIQECBAgQIAAAQIECBAoR0CBXs5eWEk0AXkIECBAgAABAgQIECBAgACB+AISEiBAgAABAgQIECAQSkCBHmo7hSHQnYCRCBAgQIAAAQIECBAgQIAAgfgCEhIgQIAAAQIECBAg8KSAAv1JD98IEIghIAUBAgQIECBAgAABAgQIECAQX0BCAgQIECBAgAABAp0LKNA7JzUgAQIE2gp4ngABAgQIECBAgAABAgQIEIgvICEBAgQIECBAgECJAgr0EnfFmggQIFCzgLUTIECAAAECBAgQIECAAAEC8QUkJECAAAECBAgEFVCgB91YsQgQIEBgMwFPESBAgAABAgQIECBAgAABAvEFJCRAgAABAgQILBNQoC+TcZ4AAQIECNQnYMUECBAgQIAAAQIECBAgQIBAfAEJCRAgQIAAgR4FFOg94hqaAAECBAgQWEfAvQQIECBAgAABAgQIECBAgEB8AQkJECBAgEDZAgr0svfH6ggQIECAAIFaBKyTAAECBAgQIECAAAECBAgQiC8gIQECBAiEF1Cgh99iAQkQIECAAAECxwu4gwABAgQIECBAgAABAgQIEIgvICEBAgQIHC+gQD/eyB0ECBAgQIAAAQJlC1gdAQIECBAgQIAAAQIECBAgEF9AQgIECAwioEAfhNkkBAgQIECAAAECBJYJOE+AAAECBAgQIECAAAECBAjEF5CQAIFaBBToteyUdRIgQIAAAQIECBAoUcCaCBAgQIAAAQIECBAgQIAAgfgCEhKYkIACfUKbLSoBAgQIECBAgAABAk8K+EaAAAECBAgQIECAAAECBAjEF5CQwDoCCvR1tNxLgAABAgQIECBAgACBcgSshAABAgQIECBAgAABAgQIEIgvIOHAAgr0gcFNR4AAAQIECBAgQIAAAQKNgIMAAQIECBAgQIAAAQIECBCIL1BfQgV6fXtmxQQIECBAgAABAgQIECAwtoD5CRAgQIAAAQIECBAgQIAAgZACTxToIRMKRYAAAQIECBAgQIAAAQIECDwh4AsBAgQIECBAgAABAgQIECCwWCBSgb44obMECBAgQIAAAQIECBAgQIBAJAFZCBAgQIAAAQIECBAgQIBAbwIK9N5o1x3Y/QQIECBAgAABAgQIECBAgEB8AQkJECBAgAABAgQIECBAoGQBBXrJu1PT2qyVAAECBAgQIECAAAECBAgQiC8gIQECBAgQIECAAAECBIILKNCDb7B4qwm4iwABAgQIECBAgAABAgQIEIgvICEBAgQIECBAgAABAgSOE1CgHyfkOoHyBayQAAECBAgQIECAAAECBAgQiC8gIQECBAgQIECAAAECAwgo0AdANgUBAkcJuEaAAAECBAgQIECAAAECBAjEF5CQAAECBAgQIECAQB0CCvQ69skqCRAoVcC6CBAgQIAAAQIECBAgQIAAgfgCEhIgQIAAAQIECExGQIE+ma0WlAABAk8LOEOAAAECBAgQIECAAAECBAjEF5CQAAECBAgQIEBgdQEF+upW7iRAgACBsgSshgABAgQIECBAgAABAgQIEIgvICEBAgQIECBAYFABBXpL7pdffjk9//zzS4+7d++2nMHjBAgQIBBTQCoCBAgQIECAAAECBAgQIEAgvoCEBAgQIECAwDoC9+/fTxcuXFjavT777LPplVdeWWfIte9VoK9N9uQDL7zwQrp+/frS48yZM08+4BsBAgQIEIggIAMBAgQIECBAgAABAgQIECAQX0BCAgQIECAwsMDJkyfTzZs3l3avr7/++kG53ueyFOh96hqbAAECBAgQKFLAoggQIECAAAECBAgQIECAAIH4AhISIECAQEyBra2tXoMp0HvlNTgBAgQIECBAoHMBAxIgQIAAAQIECBAgQIAAAQLxBSQkQIAAgZEEFOgjwZuWAAECBAgQIDBNAakJECBAgAABAgQIECBAgACB+AISEiBAoF4BBXq9e2flBAgQIECAAAECQwuYjwABAgQIECBAgAABAgQIEIgvICEBApMWUKBPevuFJ0CAAAECBAgQmJKArAQIECBAgAABAgQIECBAgEB8AQkJEGgnoEBv5+dpAgQIECBAgAABAgSGETALAQIECBAgQIAAAQIECBAgEF9AQgKjCyjQR98CCyBAgAABAgQIECBAIL6AhAQIECBAgAABAgQIECBAgEB8AQkjCCjQI+yiDAQIECBAgAABAgQIEOhTwNgECBAgQIAAAQIECBAgQIBAfAEJDwQU6AcMfiFAgAABAgQIECBAgACBqAJyESBAgAABAgQIECBAgAABAvEFukqoQO9K0jgECBAgQIAAAQIECBAgQKB7ASMSIECAAAECBAgQIECAAAECAwqMVKAPmNBUBAgQIECAAAECBAgQIECAwEgCpiVAgAABAgQIECBAgAABAnUJKNA32S/PECBAgAABAgQIECBAgAABAvEFJCRAgAABAgQIECBAgACByQko0Ce35SmJTIAAAQIECBAgQIAAAQIECMQXkJAAAQIECBAgQIAAAQIE1hdQoK9v5olxBcxOgAABAgQIECBAgAABAgQIxBeQkAABAgQIECBAgAABAqMIKNBHYTfpdAUkJ0CAAAECBAgQIECAAAECBOILSEiAAAECBAgQIECAQK0CCvRad866CYwhYE4CBAgQIECAAAECBAgQIEAgvoCEBAgQIECAAAECBCYsoECf8OaLTmBqAvISIECAAAECBAgQIECAAAEC8QUkJECAAAECBAgQINBGQIHeRs+zBAgQGE7ATAQIECBAgAABAgQIECBAgEB8AQkJECBAgAABAgRGFlCgj7wBpidAgMA0BKQkQIAAAQIECBAgQIAAAQIE4gtISIAAAQIECBCoX0CBXv8eSkCAAAECfQsYnwABAgQIECBAgAABAgQIEIgvICEBAgQIECBA4B0BBfo7CP5HgAABAgQiC8hGgAABAgQIECBAgAABAgQIxBeQkAABAgQIEOhGQIHejaNRCBAgQIAAgX4EjEqAAAECBAgQIECAAAECBAjEF5CQAAECBAgUI6BAL2YrLIQAAQIECBCIJyARAQIECBAgQIAAAQIECBAgEF9AQgIECBCIJKBAj7SbshAgQIAAAQIEuhQwFgECBAgQIECAAAECBAgQIBBfQEICBAgQeEJAgf4Ehy8ECBAgQIAAAQJRBOQgQIAAAQIECBAgQIAAAQIE4gtISIAAga4FFOhdixqPAAECBAgQIECAQHsBIxAgQIAAAQIECBAgQIAAAQLxBSQkQKBAAQV6gZtiSQQIECBAgAABAgTqFrB6AgQIECBAgAABAgQIECBAIL6AhARiCijQY+6rVAQIECBAgAABAgQIbCrgOQIECBAgQIAAAQIECBAgQCC+gIQElggo0JfAOE2AAAECBAgQIECAAIEaBayZAAECBAgQIECAAAECBAgQiC8gYX8CCvT+bI1MgAABAgQIECBAgAABAusJuJsAAQIECBAgQIAAAQIECBCIL1B0QgV60dtjcQQIECBAgAABAgQIECBQj4CVEiBAgAABAgQIECBAgAABArULHF+g157Q+gkQIECAAAECBAgQIECAAIHjBdxBgAABAgQIECBAgAABAgQIpPAFep97vL+/n3Z2dtLJkyfTqVOnnjqa87dv307NfX2uw9gECBAgQIAAAQIECBAgQGDqAvITIECAAAECBAgQIECAQP0CDx48SFtbW0/1rrMutulf33rrrV6DKtBb8Oac04kTJ9L9+/fTvXv3njqa880G55zThv94jAABAgQIECBAgAABAgQIEIgvICEBAgQIECBAgAABAgQIvCPQdKtNib6oe23ONf3rmTNn3rmzv/8p0Fvanjt37sgRtre3j7we+6J0BAgQIECAAAECBAgQIECAQHwBCQkQIECAAAECBAgQIDCcQFOy9zmbAr1PXWPXLWD1BAgQIECAAAECBAgQIECAQHwBCQkQIECAAAECBAgQIDAnoECfw/CRQCQBWQgQIECAAAECBAgQIECAAIH4AhISIECAAAECBAgQINCtgAK9W0+jESDQjYBRCBAgQIAAAQIECBAgQIAAgfgCEhIgQIAAAQIECBAoTkCBXtyWWBABAvULSECAAAECBAgQIECAAAECBAjEF5CQAAECBAgQIEAgooACPeKuykSAAIE2Ap4lQIAAAQIECBAgQIAAAQIE4gtISIAAAQIECBAgsFBAgb6QxUkCBAgQqFXAugkQIECAAAECBAgQIECAAIH4AhISIECAAAECBPoSUKD3JWtcAgQIECCwvoAnCBAgQIAAAQIECBAgQIAAgfgCEhIgQIAAAQIFCyjQC94cSyNAgAABAnUJWC0BAgQIECBAgAABAgQIECAQX0BCAgQIECAQcfPMpQAAEABJREFUW0CBHnt/pSNAgAABAgRWFXAfAQIECBAgQIAAAQIECBAgEF9AQgIECBAgcIyAAv0YIJcJECBAgAABAjUIWCMBAgQIECBAgAABAgQIECAQX0BCAgQIEOhfQIHev7EZCBAgQIAAAQIEjhZwlQABAgQIECBAgAABAgQIEIgvICEBAgSqEFCgV7FNFkmAAAECBAgQIFCugJURIECAAAECBAgQIECAAAEC8QUkJEBgKgIK9KnstJwECBAgQIAAAQIEFgk4R4AAAQIECBAgQIAAAQIECMQXkJAAgZUFFOgrU7mRAAECBAgQIECAAIHSBKyHAAECBAgQIECAAAECBAgQiC8gIYEhBRToQ2qbiwABAgQIECBAgAABAo8FfCJAgAABAgQIECBAgAABAgTiC0hYmYACvbINs1wCBAgQIECAAAECBAiUIWAVBAgQIECAAAECBAgQIECAQHyB6SVUoE9vzyUmQIAAAQIECBAgQIAAAQIECBAgQIAAAQIECBAgQIBAfIENEirQN0DzCAECBAgQIECAAAECBAgQGFPA3AQIECBAgAABAgQIECBAgEA/AiUV6P0kNCoBAgQIECBAgAABAgQIECBQkoC1ECBAgAABAgQIECBAgACBYgUU6J1tjYEIECBAgAABAgQIECBAgACB+AISEiBAgAABAgQIECBAgEBkAQV65N1dJ5t7CRAgQIAAAQIECBAgQIAAgfgCEhIgQIAAAQIECBAgQIDAkQIK9CN5XKxFwDoJECBAgAABAgQIECBAgACB+AISEiBAgAABAgQIECBAoG8BBXrfwsYncLyAOwgQIECAAAECBAgQIECAAIH4AhISIECAAAECBAgQIFCBgAK9gk2yRAJlC1gdAQIECBAgQIAAAQIECBAgEF9AQgIECBAgQIAAAQLTEFCgT2OfpSRAYJmA8wQIECBAgAABAgQIECBAgEB8AQkJECBAgAABAgQIrCigQF8Rym0ECBAoUcCaCBAgQIAAAQIECBAgQIAAgfgCEhIgQIAAAQIECAwnoEAfztpMBAgQIPCkgG8ECBAgQIAAAQIECBAgQIBAfAEJCRAgQIAAAQJVCSjQq9ouiyVAgACBcgSshAABAgQIECBAgAABAgQIEIgvICEBAgQIECAwNQEF+tR2XF4CBAgQINAIOAgQIECAAAECBAgQIECAAIH4AhISIECAAAECawso0Ncm8wABAgQIECAwtoD5CRAgQIAAAQIECBAgQIAAgfgCEhIgQIAAgTEEFOhjqJuTAAECBAgQmLKA7AQIECBAgAABAgQIECBAgEB8AQkJECBAoFIBBXrLjXvw4MGRIxx3/ciHXSRAgAABAgQIFCdgQQQIECBAgAABAgQIECBAgEB8AQkJECAwXQEFesu9v3HjRjp//ny6ePHiwuPtt99OSvSWyB4nQIAAAQIECHQlYBwCBAgQIECAAAECBAgQIEAgvoCEBAhUK7Czs5O2t7cX9q6zPvb69eupz38U6C11L126lJqNfOONN9Kio9ngra2tlrN4nAABAgQIECBAgEBKDAgQIECAAAECBAgQIECAAIH4AhISmLJA8weXd3d3F/ausy72+eef75VIgd4rr8EJECBAgAABAgQIEHhXwA8CBAgQIECAAAECBAgQIEAgvoCEBKoXUKBXv4UCECBAgAABAgQIECDQv4AZCBAgQIAAAQIECBAgQIAAgfgCEhJISYHuLSBAgAABAgQIECBAgEB0AfkIECBAgAABAgQIECBAgACB+AISdiKgQO+E0SAECBAgQIAAAQIECBAg0JeAcQkQIECAAAECBAgQIECAAIH4AqUkVKCXshPWQYAAAQIECBAgQIAAAQIRBWQiQIAAAQIECBAgQIAAAQIEKhLYsECvKKGlEiBAgAABAgQIECBAgAABAhsKeIwAAQIECBAgQIAAAQIECExLYJoF+rT2WFoCBAgQIECAAAECBAgQIDBNAakJECBAgAABAgQIECBAgMCaAgr0NcFKuN0aCBAgQIAAAQIECBAgQIAAgfgCEhIgQIAAAQIECBAgQIDA8AIK9OHNpz6j/AQIECBAgAABAgQIECBAgEB8AQkJECBAgAABAgQIECBQpYACvcpts+jxBMxMgAABAgQIECBAgAABAgQIxBeQkAABAgQIECBAgACBqQoo0Ke683JPU0BqAgQIECBAgAABAgQIECBAIL6AhAQIECBAgAABAgQIbCygQN+YzoMECAwtYD4CBAgQIECAAAECBAgQIEAgvoCEBAgQIECAAAECBMYUUKCPqW9uAgSmJCArAQIECBAgQIAAAQIECBAgEF9AQgIECBAgQIAAgcoFFOiVb6DlEyBAYBgBsxAgQIAAAQIECBAgQIAAAQLxBSQkQIAAAQIECBBQoHsHCBAgQCC+gIQECBAgQIAAAQIECBAgQIBAfAEJCRAgQIAAAQIdCCjQO0A0BAECBAgQ6FPA2AQIECBAgAABAgQIECBAgEB8AQkJECBAgACBMgQU6GXsg1UQIECAAIGoAnIRIECAAAECBAgQIECAAAEC8QUkJECAAAECYQQU6GG2UhACBAgQIECgewEjEiBAgAABAgQIECBAgAABAvEFJCRAgAABAo8FFOiPLXwiQIAAAQIECMQSkIYAAQIECBAgQIAAAQIECBCILyAhAQIECHQqoEDvlNNgBAgQIECAAAECXQkYhwABAgQIECBAgAABAgQIEIgvICEBAgRKE1Cgl7Yj1kOAAAECBAgQIBBBQAYCBAgQIECAAAECBAgQIEAgvoCEBAgEFFCgB9xUkQgQIECAAAECBAi0E/A0AQIECBAgQIAAAQIECBAgEF9AQgIEFgko0BepOEeAAAECBAgQIECAQL0CVk6AAAECBAgQIECAAAECBAjEF5CQQE8CCvSeYA1LgAABAgQIECBAgACBTQQ8Q4AAAQIECBAgQIAAAQIECMQXkLBcAQV6uXtjZQQIECBAgAABAgQIEKhNwHoJECBAgAABAgQIECBAgACB+AKhEyrQQ2+vcAQIECBAgAABAgQIECCwuoA7CRAgQIAAAQIECBAgQIAAgfgCRydUoB/t4yoBAgQIECBAgAABAgQIEKhDwCoJECBAgAABAgQIECBAgACB1gLFF+itExqAAAECBAgQIECAAAECBAgQKF7AAgkQIECAAAECBAgQIECAQAkCCvR+d8HoBAgQIECAAAECBAgQIECAQHwBCQkQIECAAAECBAgQIEAgiIACPchG9hPDqAQIECBAgAABAgQIECBAgEB8AQkJECBAgAABAgQIECBAYCagQJ9J+BlPQCICBAgQIECAAAECBAgQIEAgvoCEBAgQIECAAAECBAgQ6FBAgd4hpqEIdClgLAIECBAgQIAAAQIECBAgQCC+gIQECBAgQIAAAQIECJQloEBvuR8vvfRSunz58tJjd3e35QweJ1ClgEUTIECAAAECBAgQIECAAAEC8QUkJECAAAECBAgQINCpwJtvvpnOnz+/tHttetmrV692OufhwRToh0XW/P7iiy+ma9euLT22t7fXHNHtBAiML2AFBAgQIECAAAECBAgQIECAQHwBCQkQIECAAAECBEoTOHv2bNrZ2VnavTa97JUrV3pdtgK9V16DEyBAYAQBUxIgQIAAAQIECBAgQIAAAQLxBSQkQIAAAQIECBDoRUCB3gurQQkQIEBgUwHPESBAgAABAgQIECBAgAABAvEFJCRAgAABAgQIlCqgQC91Z6yLAAECBGoUsGYCBAgQIECAAAECBAgQIEAgvoCEBAgQIECAQGABBXrgzRWNAAECBAisJ+BuAgQIECBAgAABAgQIECBAIL6AhAQIECBAgMBRAgr0o3RcI0CAAAECBOoRsFICBAgQIECAAAECBAgQIEAgvoCEBAgQIECgZwEFes/AhidAgAABAgQIrCLgHgIECBAgQIAAAQIECBAgQCC+gIQECBAgUL6AAr38PbJCAgQIECBAgEDpAtZHgAABAgQIECBAgAABAgQIxBeQkAABApMQUKBPYpuFJECAAAECBAgQWC7gCgECBAgQIECAAAECBAgQIBBfQEICBAisJqBAX83JXQQIECBAgAABAgTKFLAqAgQIECBAgAABAgQIECBAIL6AhAQIDCagQB+M2kQECBAgQIAAAQIECBwW8J0AAQIECBAgQIAAAQIECBCILyAhgZoEFOg17Za1EiBAgAABAgQIECBQkoC1ECBAgAABAgQIECBAgAABAvEFJJyYgAJ9YhsuLgECBAgQIECAAAECBB4J+JUAAQIECBAgQIAAAQIECBCILyDhugIK9HXF3E+AAAECBAgQIECAAAEC4wtYAQECBAgQIECAAAECBAgQIBBfYISECvQR0E1JgAABAgQIECBAgAABAtMWkJ4AAQIECBAgQIAAAQIECBAoU6DLAr3MhFZFgAABAgQIECBAgAABAgQIdClgLAIECBAgQIAAAQIECBAgEFZAgf7e1vpAgAABAgQIECBAgAABAgQIxBeQkAABAgQIECBAgAABAgQILBdQoC+3qeuK1RIgQIAAAQIECBAgQIAAAQLxBSQkQIAAAQIECBAgQIAAgV4FFOi98hp8VQH3ESBAgAABAgQIECBAgAABAvEFJCRAgAABAgQIECBAgEDpAgr00nfI+moQsEYCBAgQIECAAAECBAgQIEAgvoCEBAgQIECAAAECBAhMQECBPoFNFpHA0QKuEiBAgAABAgQIECBAgAABAvEFJCRAgAABAgQIECBAYBUBBfoqSu4hQKBcASsjQIAAAQIECBAgQIAAAQIE4gtISIAAAQIECBAgQGAgAQX6QNCmIUCAwCIB5wgQIECAAAECBAgQIECAAIH4AhISIECAAAECBAjUI6BAr2evrJQAAQKlCVgPAQIECBAgQIAAAQIECBAgEF9AQgIECBAgQIDApAQU6JPabmEJECBA4LGATwQIECBAgAABAgQIECBAgEB8AQkJECBAgAABAusJKNDX83I3AQIECBAoQ8AqCBAgQIAAAQIECBAgQIAAgfgCEhIgQIAAAQKDCyjQByc3IQECBAgQIECAAAECBAgQIECAAAECBAgQiC8gIQECBAgQqFFAgV7jrlkzAQIECBAgMKaAuQkQIECAAAECBAgQIECAAIH4AhISIECAwEQFFOgT3XixCRAgQIAAgakKyE2AAAECBAgQIECAAAECBAjEF5CQAAECBDYVUKBvKuc5AgQIECBAgACB4QXMSIAAAQIECBAgQIAAAQIECMQXkJAAAQIjCijQR8Q3NQECBAgQIECAwLQEpCVAgAABAgQIECBAgAABAgTiC0hIgEDdAgr0uvfP6gkQIECAAAECBAgMJWAeAgQIECBAgAABAgQIECBAIL6AhAQmL6BAn/wrAIAAAQIECBAgQIDAFARkJECAAAECBAgQIECAAAECBOILSEigvYACvYXhw4cP02uvvZbOnz+/9Njd3U337t1rMYtHCbASUHcAABAASURBVBAgQIAAAQIECBCYvAAAAgQIECBAgAABAgQIECBAIL6AhGlvby8988wzS7vXc+fOpRs3bvQqpUBvwXvixIl09uzZtLOzs/Ro7jl16lSLWTxKgAABAgQIECBAgACBugWsngABAgQIECBAgAABAgQIEIgv0EXC06dPp9u3by/tXm/dupUuXrzYxVRLx1CgL6VZ7cL29vaRNzabfOQNLhIgQIAAAQIECBAgQIBAyQLWRoAAAQIECBAgQIAAAQIECBQksLW11cdq3htTgf4ehQ8ECBAgQIAAAQIECBAgQCCagDwECBAgQIAAAQIECBAgQIDAOgJ1FujrJHQvAQIECBAgQIAAAQIECBAgUKeAVRMgQIAAAQIECBAgQIAAgYEFFOgDgzfTOQgQIECAAAECBAgQIECAAIH4AhISIECAAAECBAgQIECAQH0CCvT69mzsFZufAAECBAgQIECAAAECBAgQiC8gIQECBAgQIECAAAECBCYpoECf5LZPObTsBAgQIECAAAECBAgQIECAQHwBCQkQIECAAAECBAgQILCZgAJ9MzdPERhHwKwECBAgQIAAAQIECBAgQIBAfAEJCRAgQIAAAQIECBAYTUCBPhq9iQlMT0BiAgQIECBAgAABAgQIECBAIL6AhAQIECBAgAABAgRqFlCg17x71k6AwJAC5iJAgAABAgQIECBAgAABAgTiC0hIgAABAgQIECAwcQEF+sRfAPEJEJiKgJwECBAgQIAAAQIECBAgQIBAfAEJCRAgQIAAAQIE2goo0NsKep4AAQIE+hcwAwECBAgQIECAAAECBAgQIBBfQEICBAgQIECAQAECCvQCNsESCBAgQCC2gHQECBAgQIAAAQIECBAgQIBAfAEJCRAgQIAAgRgCCvQY+ygFAQIECBDoS8C4BAgQIECAAAECBAgQIECAQHwBCQkQIECAAIF3BRTo70L4QYAAAQIECEQUkIkAAQIECBAgQIAAAQIECBCILyAhAQIECBDoTkCB3p2lkQgQIECAAAEC3QoYjQABAgQIECBAgAABAgQIEIgvICEBAgQIFCWgQC9qOyyGAAECBAgQIBBHQBICBAgQIECAAAECBAgQIEAgvoCEBAgQiCagQI+2o/IQIECAAAECBAh0IWAMAgQIECBAgAABAgQIECBAIL6AhAQIEHhKQIH+FIkTBAgQIECAAAECBGoXsH4CBAgQIECAAAECBAgQIEAgvoCEBAj0IaBA70PVmAQIECBAgAABAgQIbC7gSQIECBAgQIAAAQIECBAgQCC+gIQEChVQoBe6MZZFgAABAgQIECBAgECdAlZNgAABAgQIECBAgAABAgQIxBeQMK6AAj3u3kpGgAABAgQIECBAgACBdQXcT4AAAQIECBAgQIAAAQIECMQXkPAIAQX6ETguESBAgAABAgQIECBAgEBNAtZKgAABAgQIECBAgAABAgQIxBfoN6ECvV9foxMgQIAAAQIECBAgQIAAgdUE3EWAAAECBAgQIECAAAECBAiMLtB7gT56QgsgQIAAAQIECBAgQIAAAQIEehcwAQECBAgQIECAAAECBAgQiCCgQD96F10lQIAAAQIECBAgQIAAAQIE4gtISIAAAQIECBAgQIAAAQIEDgQU6AcMUX+RiwABAgQIECBAgAABAgQIEIgvICEBAgQIECBAgAABAgQIdCWgQO9K0jjdCxiRAAECBAgQIECAAAECBAgQiC8gIQECBAgQIECAAAECBAoSUKAXtBmWEktAGgIECBAgQIAAAQIECBAgQCC+gIQECBAgQIAAAQIECMQSUKDH2k9pCHQlYBwCBAgQIECAAAECBAgQIEAgvoCEBAgQIECAAAECBAgcElCgHwLxlQCBCAIyECBAgAABAgQIECBAgAABAvEFJCRAgAABAgQIECDQvYACvXtTIxIgQKCdgKcJECBAgAABAgQIECBAgACB+AISEiBAgAABAgQIFCmgQC9yWyyKAAEC9QpYOQECBAgQIECAAAECBAgQIBBfQEICBAgQIECAQFQBBXrLnX3w4MGRI+zt7R153UUCBAgQKErAYggQIECAAAECBAgQIECAAIH4AhISIECAAAECFQvcuXOn19Ur0Fvy3rp1K50+fTqdOXNm4fHw4cPUHC2n8TgBAgQIEFhBwC0ECBAgQIAAAQIECBAgQIBAfAEJCRAgQIBAXIHmDy+fPHlyYe/a9LFNL3v37t20v7+f+vpHgd5S9sKFC6n5U+bNRi06tre304kTmFsye5wAAQIEpiAgIwECBAgQIECAAAECBAgQIBBfQEICBAgQIHCEwNbWVrp//35a1Ls255pe9uLFiynnfMQo7S5pdtv5eZoAAQIECBAgcCDgFwIECBAgQIAAAQIECBAgQCC+gIQECBAgEF9AgR5/jyUkQIAAAQIECBwn4DoBAgQIECBAgAABAgQIECAQX0BCAgQIEFhBQIG+ApJbCBAgQIAAAQIEShawNgIECBAgQIAAAQIECBAgQCC+gIQECBAYRkCBPoyzWQgQIECAAAECBAgsFnCWAAECBAgQIECAAAECBAgQiC8gIQEC1Qgo0KvZKgslQIAAAQIECBAgUJ6AFREgQIAAAQIECBAgQIAAAQLxBSQkMCUBBfqUdltWAgQIECBAgAABAgTmBXwmQIAAAQIECBAgQIAAAQIE4gtISGAtAQX6WlxuJkCAAAECBAgQIECAQCkC1kGAAAECBAgQIECAAAECBAjEF5BwaAEF+tDi5iNAgAABAgQIECBAgACBlBgQIECAAAECBAgQIECAAAEC8QUqTKhAr3DTLJkAAQIECBAgQIAAAQIExhUwOwECBAgQIECAAAECBAgQIBBTYL5Aj5lQKgIECBAgQIAAAQIECBAgQGBewGcCBAgQIECAAAECBAgQIEBgiUCgAn1JQqcJECBAgAABAgQIECBAgACBQAKiECBAgAABAgQIECBAgACB/gQU6P3ZrjeyuwkQIECAAAECBAgQIECAAIH4AhISIECAAAECBAgQIECAQNECCvSit6eexVkpAQIECBAgQIAAAQIECBAgEF9AQgIECBAgQIAAAQIECEQXUKBH32H5VhFwDwECBAgQIECAAAECBAgQIBBfQEICBAgQIECAAAECBAgcK6BAP5bIDQRKF7A+AgQIECBAgAABAgQIECBAIL6AhAQIECBAgAABAgQIDCGgQB9C2RwECCwXcIUAAQIECBAgQIAAAQIECBCILyAhAQIECBAgQIAAgUoEFOiVbJRlEiBQpoBVESBAgAABAgQIECBAgAABAvEFJCRAgAABAgQIEJiOgAJ9OnstKQECBA4L+E6AAAECBAgQIECAAAECBAjEF5CQAAECBAgQIEBgDQEF+hpYbiVAgACBkgSshQABAgQIECBAgAABAgQIEIgvICEBAgQIECBAYFgBBfqw3mYjQIAAAQKPBPxKgAABAgQIECBAgAABAgQIxBeQkAABAgQIEKhOQIFe3ZZZMAECBAgQGF/ACggQIECAAAECBAgQIECAAIH4AhISIECAAIEpCijQp7jrMhMgQIAAgWkLSE+AAAECBAgQIECAAAECBAjEF5CQAAECBAhsJKBA34jNQwQIECBAgACBsQTMS4AAAQIECBAgQIAAAQIECMQXkJAAAQIExhJQoI8lb14CBAgQIECAwBQFZCZAgAABAgQIECBAgAABAgTiC0hIgACBigUU6BVvnqUTIECAAAECBAgMK2A2AgQIECBAgAABAgQIECBAIL6AhAQITFtAgT7t/ZeeAAECBAgQIEBgOgKSEiBAgAABAgQIECBAgAABAvEFJCRAoKWAAr0loMcJECBAgAABAgQIEBhCwBwECBAgQIAAAQIECBAgQIBAfAEJCYwvoEAffw+sgAABAgQIECBAgACB6ALyESBAgAABAgQIECBAgAABAvEFJAwhoEAPsY3dh3h99+30wdd+3cHAO+Ad8A54B7wD3gHvgHfAO+AdSH5v4PdG3gHvgHfAO+Ad8A54B7wD3gHvgHfAOxD5Hei+aatzRKt+JKBAf+Tg1wUC127fTQ4G3gHvgHfAO+Ad8A54B7wD3gHvQOXvgN/X+L2dd8A74B3wDngHvAPeAe+Ad8A74B3wDix9B157a29BS+ZUhQKdLVmB3hmlgQgQIECAAAECBAgQIECAQNcCxiNAgAABAgQIECBAgAABAgSGFBinQB8yobkIECBAgAABAgQIECBAgACBcQTMSoAAAQIECBAgQIAAAQIEKhNQoG+wYfOPXL16NV26dGnpsbfnr32Y9/KZAAECBAgQIECAAAECBAjUImCdBAgQIECAAAECBAgQIDCswM2bN9Nzzz23tHttetlr1671uigFekveK1eupFdffXXpcfr06ZYzdP64AQkQIECAAAECBAgQIECAAIH4AhISIECAAAECBAgQIECgOoELFy6kGzduLO1em1728uXLveZSoPfKa/DuBYxIgAABAgQIECBAgAABAgQIxBeQkAABAgQIECBAgAABAuMIKNDHcTfrVAXkJkCAAAECBAgQIECAAAECBOILSEiAAAECBAgQIECAQLUCCvRqt87CCQwvYEYCBAgQIECAAAECBAgQIEAgvoCEBAgQIECAAAECBKYsoECf8u7LTmBaAtISIECAAAECBAgQIECAAAEC8QUkJECAAAECBAgQINBKQIHeis/DBAgQGErAPAQIECBAgAABAgQIEFhN4P79e+m7v+Ufpl/75Q+t9oC7CBAoSMBSCBAgQIAAAQIExhZQoI+9A+YnQIDAFARkJECAAAECBAgQIEBgEIGmPP/Wr/rK9P6v/9r06su/OsicJiFAgMB7Aj4QIECAAAECBAIIKNADbGINEd7e20u/+os/n374+/5d+tav/or0xZ/+SelzP+5j06d85Avpkz7i0sHRfG7Ofc0X/uX0Ix/4D+nunTs1RLPGFQV277yVfuFnfjr9wHd/V/qmr/iy9EWf/CcO3oFP++gPP9j/2XvQ/PzMj/2dB9e+/HM+I33nN3zdwXPNO7TiVG4j0LmAAQkQIECAAAECBPoXeOmXfjH97b/02enP//6POvg9QP8zxpvh/v17qSnPP/Bd70/7+/ujBNx5/cbB7/u++NM+MX3yb/+N6a/8qY9Lv/izHxxlLSYlQIDAugLuJ0CAAAECBAg0Agr0RsHRqUDzm/T/d/3V9EPf+z2pKcObMvRTP+o3py/4xD+evu5LvjD9+/d/e/qFD/5UunHtldT85n42efO5Ofej/+n709f+tc9Pn/n7PjJ9zz/55ifumd3rZ/kCDx88ONjnb/vqr0yf84c/Jn36R39Eav4Fyje+70vSf/zX/zL98s/974N3YNF/KHH713cOrn3wx34kfdc3ff3Bc5/2e35r+ua/8770xmvXyw9vhQTKErAaAgQIECBAgEDRAm/fvXvw/+//q5/wR9NP/ucfSrduvpF+9id+tOg1l7i45vfi3/sd/zhwEjm9AAAQAElEQVQ15Xmzvt/w/OX0mz78tzUfez+auX/l5//PwX8A8dl/8KNT8/u+5j+gfvjwYXr5Q7+UvuJzPys133tfiAkIECAwbQHpCRAgQIAAgY4EFOgdQU59mFlZ+o++8m+mpjBvCtO//6VflJoyvClDN/FpCvXv+HtfnZp/AdD8ZnyTMTwzjsDrr15LX/ZZfzY1f9PA973/n6bmP6hou5LmX7x8/3f+s/R5H/+H0n/74R9sO5znCRCoRsBCCRAgQIAAgcgC13/t5fS+v/jnDv7mqfmcz166PP+1is93br958Deuferv/i3pJ37wBwZf84/9wAfSP/+6r3lv3k/53M9Ll1548b3vfX1o/uaAL/2MT05f+Gc+/uA/gFg0z1u3fj19+9d+VXrrzVuLLvd6rvn3CT/z4//l4E/CN0V+87ej9TqhwQkQIEBgQwGPESBAgACBcgQU6OXsRbUraf4qts//k3/koCz9wL/6F6n5jXGXYf7tt31T+rUP/dKRQzb/ouLffPM3puZPLB95o4u9CzT/MuIf/K2/kX7up/9HL3Pt7e4e/E0G/vRCL7wGJUCgawHjESBAgAABAksFmt8z/PVP/YSD3ztsnTyZTn3Yhx3c2/zJ6d/1sX/g4HMtv/zP//rj6Qv+9B87+BvXmj9R//KH/u+gS29+f/QN7/uS1PyHx83Ev+P3fkz6hM/6C83H3o7mbxNr/k+0NX9zwM//9E8eO8//+u8/kX7up/r5feKyyZs1fsvf/fKD/0ij+ZPwV3/lQ+nOCCX+svU5T4AAAQKBBEQhQIAAgVACCvT/z96ZwOtU/H/8e+7FT4mUZCmlFKmUpbRq0yIhipIk0WKpyJKoKNpJRYUWIUlpoWjf9420addOWrX9/i30+5/P3DuP8zz3ufv23Oe+7+vOc2Zf3jPnnJn5zsxJq+os+8JokK4V3Ku//LxQidepV9/aHdXFBl18hY25/hanRl033Y4++VSTWzSy39autTXffBW1itNLgK+JitlXX25P3rcgzq0yGTyHc3t2LbdjzrWyf8ncWfbmC8+WKnot0ph77VWmialSTagYkavdXtC3p9uF8evan4sRE0EhAAEIlB8BUoYABCAAgfIhsOqLz5wwdsKAU+zvv/4qn0yUYqoaNzz/0IM2qmc3d1x73QYNbcjlk61a9Y1cqvsf2cnqbd3I6VP9R6exLZp1cyigPdZ9hkr53XzLerZfh6OkLROl8ca0i0bHFrNnZGRYz8HnWK3am5Va+hp/ase5PtFW0EQOOOpoa956j4J6L7Y/nW4wqlc300lmPrJDuvawzbes741cIQABCEAAAhDIJsAFAhCAAATiCSBAj+eBqRAENKkzYUDf2CA9r6D67trxg4bYtEeetQc+/Mpuf2m5jZ5yk3Xq3dc0OSJ1YKeudsbYS2z280utz7BRseiCIDDtRrAkfzrKWwPi71evSuJaeaw8hy8+/tC0qv/jd94ql8KvfP9du2valHzT1oRSs5atrUPP3tZir32cfy2cuH7xkzbruTds3E1z3ATa4T1OsAbbNHbuiT8qp44KTLRPBbOOJbz8rNNs2fPPmO6T777OfQFIKuSXPEAAAhBIUwIUCwIQgECFJPDdN1/b2H4nmvr2n7z3thX1k1ipWngJzxfffptdOeQM02e76m+zrY27+XZ755UX3dhSY4XOffpZEASpWoRYvrS7+brRw2zGhAtjO7/l2OusYdZw2+2kLXUlhjq2XQJtn1j7bj1sj4MO8cYSvfoFA8OO7WirvyzYQvp9D+9oM595zc6bMsNq1KxVovnJLTId2T6k6xEWHRtvu2Mz07H2QZD6bcv4gwAEIAABCECgMATwCwEIQKDECWSUeIxEWCkI6JjuG8ael+dO5+133tVGXH29LVj+kd30+At28vDRts0OTW3NV1+679s9PP92W79+XQ5eGZmZtseB7e0/G2XtPqjbcKsw3I45/L346BK7ZMAppiO9veM2Ozb12kpz1ap6HZvnOYibhNFlDUC7wW+/5io36RVNe8uttnYnC1w6525b8OaH9tCn39rcl9+ya+59yPqOPD9Wf42bNbett2ti8r9X+8PtiON62dArrrFbn37FFq74wsbOmGVqUz5ulXdNHicTeH9lfdWE4L03TzP/OYGNN6lpm2y6aVlng/TSnMBP362xk9u1sY5N6tvVI85O89LGF+/Xn38yHRPabdft7JN33453zDbpcyJic825Q0z3ZCrwSoU8ZOMp1mXBjOtdu8uLf7ESyCew2rvqVu1fTPPxnsO5vPOfI0N5WuBYGQh89cnHdnybnazvAXvYj2tWV4YiU8Z8CEgYeusVF9uqz1c6n7XrbGHV/lPd6dPhR+9lCc9nTLjACZwlPL/45rm2+ovP7cn7F7gilqXw2SVYxB+dOHXJoH72+L13xcWgRcKHh2OZOMtSNLz6xGP22N3zYiloAcLxg4dalSpVY3YlpdGY78Zxo3MsGMgr/iAI7OXHH7Z+B7V1pyqsXPFuXt6L7aY2ptMNLux7gjvdwEdYo9amNvTKa033lLfjWr4EfL9MfbtXn3ysXDJT3L5luWS6DBLNjYvGXxoHqM5Uf2WQlZRJQs8WfQLinptucJ+wPK71Tm5cJBZSXZo1stMP299mjL/APly+zLTYKGUynyIZoV2lSEWQjRQlQLYgAIFUJJCRipkiT6lP4OmF9+R5TPdxA86y6x98wg7p2j22wly7hYf36GSnHbqfLZp9i23ffFfLzKySo7CaNJLwQwJSOXbp09/q1GsgbUxpx/Wk4We6HQveMggC22HX3byxUlzFauaV4+3bL7+IlbftwYda452ax8xlpfn0/Xdt2fPPmo4LbN3uIBs99Wa3eEI7ynWyQKv9DjBNWvj8KO9+p4TCHHViX6tWPfnkYLX//Mf2PrSDTV6w2A495jgfRTix+FlMnyqa5S8+Z3dPuy6Wna23b2KbhhOfMQs0EEgxAto5dfe0Kbb2h+9zzZmbKLj5xlzdy9JB3xP9JhQqaEFW/Ubb5khaC7PefOE5Z98yfO4EATuMHAx+IFCGBPQd4KcX3VuGKVbcpLS7WEK4HVu0tNpb1K24BSHnJUZAglAJ/3yEjZvuFPahy2bHrk+ztK4SPjxx393mhecaG4y6drplVq1i0y4eY//++68dduzxVpbC56KW9efvvzOdxrbs+Wfiomi5bzvrf97YUhFexyWUbfjum6/ttomXOnbZVlZaCxB0ytaEgf1MY3WfVkGuqncp+dWpClcOHZBnv1P+iqqUjtqYP93Ax6Px5tDLJ1uz3Vt5K64QKHcCmhN5aN5s+/zD98s9L2QgdwIShL/yxCM24Ih2bj5z5pUTnIA88XQY1efXKz9x853nHNvRTtx7N3vmwfsRpOeOFhcIQCCdCFAWCKQpAQToaVqxpVksCVkWzbo5aRLVN97YdtljL2t7yGExdw1itZvgzKPa2wdvLnX2p4wck3Tw+t/ff7MZ4y+0R+bPdf60er9L31Od3v98+NabNnHYYLdzedc99zYJXuUmQeV2zcpecKy0y0u99OhD9sLDi2PJaxLquIFnl9mETSzhULNji91tzgtL7b53P7NLZs23dh07xxZPhM45/l+N7JTo0PMk2/Pg9jn8JFpIwL5fh06J1iljXvvjD3bTJWPjJrD279DZNtq4RsrkMdUzMmfylfbs4oVxi2NSPc8VOX8SjI84vostCSduNGmdWBY9v1UfZ3Y+1L748INE53Ixr1j6uq1ft859PzPZ6Q56R338znKrWbu27bBL5VpUVS4VQqIQiBDQxKF25Yzufaz98O3qiEvF05ZFjvWM1cI7pdVq/wMsM8nCUrmhKg8BCRfVF/IlDoLADujUtUIcZe7znNdVY5frzjvH9ZW9QFNjuOsvONedbNaw8fZ24pCR5TKWySvfiW56vl102knu01lRN+VfJ2jVKKMjyrVo8O7pU23V51mnFSgvGh8f2LmbtCWqJDy/dFB/W/rcU/nGq7pt3+04u3rBg6aTxBZ/9I31HTEmFu6rTz+xT957J2YuKY2eqTrdwLexaLw6+WzfIzpGrcpMr3fjfbdMs667NHa7VR+YfUux09aJgDPGX2A6pl7CvWJHSARlTkCLcC4bfKrdfNlFtu6ff8o8fRIsGAHVk04aGX9GX9OzS8+3dkd1sQm33Wnzl75vSz5Z7U5Z1FVmnbzY8YQ+bnPILz/9aFcNHWgX9O1piqdgKeILAhCAAATKgwBpQiA3Ahm5OWAPgdwIaLCrjqN336lVG7fbWJ3F+95ZaRPvWmQ7t2nrnDWIvf/W6Xb1iLNiArEOPXvn2FWgHZASyvfZr7UtuWOW28Xcb9SFNujiy+MmULTCXsLzP379xXbbez8769JJ9u5rL7u0Djiqa6XauSNh7Z1TJ7vjiR2A8KfH6YNNO/tDbZn/64hA7ZzSbvH8El/1xWexXSb6Dl3voSMts4CTxh8sz1qEoTQaNt5Ol5RQausPzL7VfavSZ6hOvQa258GHeiPXAhD4ftU3duWQAdb/4L0RpBeAV3G9zL/hOsvrGE0N9LXC3p8IUtz0ihv+77/+ij3zW+57QNLovvzkY1M7atysuW3RsGFSP1hCAAKlQ+DzD963O6ZMcsKx0kkhvWL9be3PpoWh+vxO0xYtS7JwxFUBCUjINi+8f/SpEp/9pru3Mo21vLkiX7U4YOoFI2PPBwk02x5ymN16xXjTp4+0EHjk5Bvc55xSuZzqG10VCkQ+fuetuGyWR/7ffvlFe2T+7bF8VKlazfoMH53nIuaY50JoJDy/4uwBrp4sn7/OffrZvNffs+GTpljz1nuaxoYZmZl2SLcecafKffbBinxiKpyzxmLaee5PN4iG1vxD136nl8tCFN3XOvL+lssvNh1/L+FboyY7RrNXZP3KD96z0b2729ldj0CQXmSK5tqqPjM3+/mlps8fFCOqQgVVe33liUcLFSYVPOvUx/vf/cwJjXuccWYqZKnU8qDP7Aw/rrOpnnTvaoHX3W9+aKOn3GRtDjjYatXeLPZcCYLAmXXy4pmXXGV3L/3ANKepeTK948ac1MM0n1lqma0gEevdUB73WwXBQzYhAAEIFJUA4UqRAAL0UoSbrlE3b72H9Rk2ykZnH9E9+Z4lbrdxrbDzGC2zBrH33nyjabDo7f2RdhKW/rjmW3v07nk2qlc3O6bF9jZjwoWmHej7Ht7Rpj/6vHUPhcHqbPqwGrhfe945boV9rc02t4EXXWbvvPqiE1hqoHNw12O910pxffye+a7svrBNd2tpHU44KdaB9/apdlU9+l0mmuQZPOGqAn+H7vvVq+z5JQ+4ImVWqVLgcC5AKf989Nabdv/M6XGpHNa9p9XbulGcHYa8CWxWt67zIAEognSHgp8IgZ+++9btWNqs7pbWuNlOEZcN2rdfedEtLNJCLk5/2MAFHQQgkHoE8vskRerluKxyVDnT0e7s6MlSotD5pH4lLgxVvGWt1P/XVxQPCgAAEABJREFUblm/OEACzaP7nmaLZt1sj8yf6xZPV4TjtVUOLeZ+9/VX4hBKsFLW+f917c82++rLYwsSlKGjTjzZdtmjrbQlpiQA1iKH/HaeN9imsV17/yM2cNxlTohUYhkoYES6f5LtPPfzD9F5hQJGWSLelK9H77ojFlfnPv1NnxiKWRRRo/mUTTev40JrMSyCdIeCHwiUGAEJuy8+42T3ucS6DRra5HsfshPPHm4bb1KzQGno9ETNad6w5Clr1GQHN3en+Uy9RwoUAZ4gAAEIQAAClYZAahc0I7WzR+5SkUCNmrWs5+BznNBc+mR59MJz7Vz07kEQWJCRYUOOPsI6N93KTtq3pV03elgoBH/ZNPjrOXiozX5hmV0wbabpKD8fTlc/cNfKTZlPv2C8Va1WzeZNnSyjHdN/gDXcNnV2I7tMleKPBMnRgbgE0aeOubhcJisKU0y1i4fvvN18PfYeMqLAkzxqA3deP9m0e11pbtV4+3AgUjKr9xVfcZR2E9x5wzXuswI+Hh2feOxpA0t8QYPKr8nVwn4nrajhfHnK6qpV2jc9/qJpIY3S9IL0k/ZpaU8vujd2koXcUJWPwOcffuCOv9thlxa2+Zb1cwDQcZYrlr7m7judUpLDAxYQgAAEUojAinw+SZFCWSUrhSFQBL/JTpY67Njj7YBORxchttQKov7/krmzYv3/hmEf/viBQ+zBObeaxooSPmth9n4djkqtjCfkRkIPjV39OMY7l1f+NRb86O3lPhtuLHzMqSU/9nhg1i1ukUMsoSSa/Y44ygnPtaA7ibOz0oIhLYR0hvBnmx2ahr8l8//a00/YpBFnxi0mUMwSnp9/461lughFJ+ste/4Zm3vtxDBPZ9k1o4a6hZ3Kj9TS5562Gy4cZV+v/FTGIivt7Nd9c00o1POnVHhB+sAjD7Q3X3jWONq9yHgJWMkJaH7nxotGmz6PoXfWxLsesLyeb3nharTDjjbhtvmmePT+0PtQ78W8wuAGAQhAAAIQgEDqEMhXgJ46WSUnqUxAx+qqc/ny4w+7weLFp53kJkSieVYnUQM5CfIyMjJNA1odbXTbs6/bvNfetT7DzjOt7IyG8frH7p4XG7jrqL+92h9usydd5r6V12r/A+3IXn281xxXDWKff+hBu/CUE9xO945N6tu5PbvaD9+uzuE3NwsNPt9f9rpdcfYZ1qVZI6duv+YqW79+XW5BStVePMTRJ1KQ3QbapaAd/+cc29HlXxyuOmeQaTLIx1PaV33nc9bES10yqv+jevd1gi5nkceP+N9387RYG5DXdh27mE4i0KkF0y4e44781iphuRVF/br2Z3ciQlH4vP7sk/Z6OHHj09URjv1Hj8t1skZp6Tt4gzoebJ12bOi+hacFJc8tWRQ3weLj89dPV7xjQ7p2sMvOPNXGD+hra3/43jvleS1qON2z33z2qbuXdaS62oy+3bfkjtlJ86l76pKB/ezcE7oWq11pAY0W0sx85jXT5LEKp++HaccPgnTRyKl0j2jycMRxXWJtSs+qi07tbR8uX5ajvq4ecbZrd0/ef7eLTAsVeu+zu7OT20/frbGT27Ux2clNnuRXbUDq1Scfk5V7Bsuf7BbMuN6dIqIJQ7Vn2Un1PWAP917QveoCJfxI6K2TSORXysed4M0Zl7/0nLvucWB7dySoM0R+fli1yrS4RG1ou2bNIy4F02pxkr5DGM2/TkjR+0N8xTkxpk/efdu67bqdY6e8654Z1v0oZz5hz13sgVBAoEmYxHDJzIrfv2sUVjy8EmcdAfrtV18mC2qqN/kVSzEVbwkmerXd1eVFbgM7HGhP3r/AHSGaNJLQUuHuuekGU70pjJTiUFxyC73k+69nnOLwzw3Fofao5+szD9yXZ/r5Rp7gQXmaMeHC2HtN9XXNuUOKNTGtBVuqy5HHHx2LV2VQeeZMvsK1+4RsxBn17Hz3tVdcv0PlVlhddT9++clHLrzqU/a6b+IChwa1gxcfWWLnHHNk7H6WX7VLneCS26R7Ylv8IeznqM30aNUsrg0sDgVZ+bXJwjLwaZ999OGxxWS3XXWJS1f3h9zDohX6X+1dZVAbFAOp41rv5PpjYplbhGL4fthvE3O1CYWTyo+hf/bJr9qAr0t/T8tecSTe16u//Ny9m1XP8qM0rxszPM++pvrO+gxREAS250F87iW3uqws9oknSzUMhcw6KrYgu2b1zC1uH9/f83rfqR2rv6eFi3nx1ztTz0Q9G9XupfSeeefVl+OCrXz/XVsQvldkmZGRYaeGfWQ9E/RekZ0WT+57REdpC6SKU17d03pPK22fb5U1t76tz5D4aBe2FrF6O38tbP59uOJcdRy+TnqLxtHr7OG5jqWj/gqj1xjizhuuzTPIIV272/BJU61m7dq5+hN3zRPoKk/6bEWdevVd//Stl1+wUw/Zx+bfcI2cCq30GQyNERI/N7Ttjs1s6BXX5DoeK3RCkQA6xv+Cvj3t5kvHuTJY+KeyqY91XPjOldu8qVfbU2GfKzFfX6/8xL5a+bHVqV8/DFW8/yAIrFnL1nb1gsWmXa6aF1GM+tze+Scfb5VBkK5nifoZHcM5nmR9KvGQysuf70Orb6Z+gPxHlfobmgfSu13pSEmv52Vu44No+ES98qk41E+Sm9qI+k+y8/142UeVnnvJ+tYFzYP6RbrX5F/PeKUlpeegxm7qT0fTy0ufF8uoW7QfFR2jil1effX86sPnLZk/PQ98v7fnHju7Xd/ef/T6YtjP9vMwOlr9j99+jTrbC48stteeetw0r5Ps0yI/JPSxxVR9TrWV9eEc4aWDT3V9YI0l/u+P392nSUZefb3p2ac+pPqNcQlGDKoL1Ul0LCa9wqn/7ttPYnv19qN6dbPoWNDzUHnH9T/RlEefnN5tj997lyl+tQcpvcefX/JAngtw1J7Uz9Z9UdQxa2L+fZ6Ke1WZ9K6OjqNUds295TcGyu0+y28MW5bsi8uH8BCAAAQgUHgCGYUPUqFCkNlSJrBi6Ws2tFsH67rztnZq+31twoBTTINFDSR80pooaRwKMrr1O8PGz5znhOWLPvjSLrt9gXU8oY874joIAu89x1WCYr/TXDutjz11kGkXs4Ti9bfZ1s6+dJIlO6ZXHU9NdGgQe/lZp5lWe0uYrgR07N5Ljz0kbZ5KA2ENNDT4HN6jsz0XCjjVIZNa9sIz5uPLM5JiOmpy6qE759iU80c4AbImfR6JHAOnyYHjBw3JVRCtzr0GKD3bNHc7/j8MhWnKv7L1zAP32QdvLpW21JWE2zeMG+12BgRB1mD//ltnmIRVyQaqPkMaJKgeZ026zFu5HRaHH9fL1DaGd+9kD86Z6dx+/fknU73OvGK8aSB08v6tbcARB1jiNwqd5+yf4vJRJ3vB9KmxyRNFe8LgodZs91bSximVRQPf3nvt5j5tIEHfv//+6/zokwYSAq35+ktnTvajydU/fv3FOWniRnl3hnx+ChtO7V7Cn7O6HGanHbqfKc+rv/zcpaIy3D9zhkmg7Syyf95/8w07s1N7x1/3vOr72cULbfr4800DDtWFBpCyzw6S76V+o23snKuus7kvv2Wdep/ijvdUupokkyD9sQV3lqggLt8MpaiH39b+ZFcMOcMuCoXleib7NqX7XM9i8b//1ulxbbQ0iqJniwbcegeoPfs0VOeyk9vKFe9660Jff//lF3t/2Rtu4kGfEkkWwSfvvW2/rV1rO7VsY5vW2SKZl6R2YqV2fkoo7BeraP71nNf7Q3zVhvO678R/6DEdY89VtVcttvL3T9LEsy2V78vPOt38u0Zhs53cRQsZFs+9zU4P78kXH13i7HL7+fS9d028tVAns0pV981R3ZeacL96xFl29ciz3MRKYnh95++cUGgrwYLqzbtrZ6T46HmbV1n07NB9r/tdcUT9irHaiBZuDTzyICtOW/D5WvPNV3b20Ue4I4AVv+xVX5oIGnBEO/duUJ5kX1Cld+zQbkfaxaf3sffeeDXu1AuVZ/4N11rfdnuYJmCSxa183DD2PLeQSO1GZqWtq+7HQWHZ9ez6d33Ws19uUaUJvHGnnmSXDu5vmgT097P8qF2qP6CyqYzJ0pc/qZfCNnLaofuG+bzN/HtD9moDN447z0b2PDpX4W5xGSid4irxkjCl30FtXRnUBn2cv/+y1vXH9H5XG0/koPfjJYP6uXtJzNUmfFjP8PTD9nOLw5SOd0u8Kl4JqLQoLNpXUhzTLz7fpk+4wLUP3Y9nHNbONFnn41Oa2h2qtv7pincSo3bmn7771n2Som7DraxxLp+kcB75SXsC6s8umnVzrJx6XkvIvOVWW8fsEjVqn3qmXnhKL+uZSx9/7rUT8333q81KUK5+lZ57/rml/p76j2rLiWlrjKXFq3rW65moZ6P3o2fMLZdfZL+H72zZSZBwz4wbzD+H2nfrYX/9+X+mz/To+aZydus/INdxjOLwSu/fAoxpvPe4q3gVtm8bjeCBXHZhS3he0PxH4yuOXnV23803msY9Ph4tMN+/QydvLJGr2oD6ML7ukkXact927rNq1TfeOJlzzE4Cm+cWL4qZtftc7VvPWB09rnsgCDLce0/vVwnGTj9sf1MbmzE+61kbCxzRqE1MDvs0iXls2Hh7u/jWO5zQKuI9T63augSa/Q7ey6WrZ7/iTwy0MuzLDg3nP7TLXP3OP//vv86LFoqrfap+nEUuP0EQWJeTT006f5FLkHytgyCw7Xba2S6dfZdFT/KKCtJfeeKRPAVi+SZSCT3ouaF+hvobmgdSG/EYpNfzUuODyecOKdV5IfVldC8k61v7PGgsqD6kz1/0qn6RFnXoXpP/aBvV81vjtH4H7ZXnnEk0voLq1/3zj2keR/eSngFaNLPJprUdK/Vjz+pyqJujK2h8BfGnORjNxcivnpF6VkbLK/vvvvnabpt4qZuXkoD85BFj4hbaqM+p+R35PWXkmLh5HQmOH5h9i/U7sK3rn/pnj9JQPamfP2/KZPvy4w8U3J2suVGNTZx+hxa72d7tj3ALaV98ZImzS/zRvJXqQnWifHp36dX3VD3+uGa1t871+t3XWWMkjd98HvXOff2ZJ13/WGMMtZeLTzvZ9NxS/D4yvccvP/t0u/GiMUk3DJXkmNWnWVJXjWUHdzzYLWpVGVVmxa2r5t40BhrS9QiLllfuutdLagxbmuyVVxQEIAABCJQ9gYyyT5IUC04gtX1qVaO+uxY9Oi4xx0EQWN9zL3DC8v7njbU9DjzEaodCjSDIXWAejUMdGQlHf/pujbNu3627/fT9GtMuZk0u9R811gngnWPkR0JvdTw1KFdnNuLktBpg7nNoB6fP7eeHb1fbpYP6mwYaGnxG/Wmn/ODxV1pmZpWodYnp1THXIPeMw/d3A3jtOHtk/lwnRD/3hG7mO81ioA6/mCYmLnZaBa/OvQYoie4ytz34UMtNECX34irlQRPxGuypo6pTChSn7B+9646w4/pVrE3IPvna9FYAABAASURBVFFpoHXuCV1NAlvvpjKfErap/4WC57H9ToytKtbg7+yjDzftgL4nnFRa/tLzpsUHikOTe9rp5ePQVXkoCT4vPPSARe8BTWBJ2Ks0ompNOIiRwEIs1Cb1Taw+w0aZPkfg/a3752/756+/vTHuqsHUMw/cH7PTSvU1ofAoZpGLprDhNBlw7aihTvijCaLEaIMgCIXZfU2fXfBuGpyoLjRIld3br7xkg486xE2OPjD7VtMEr+pCwqhF4YBTfgqjNt+yng26+HKb9/p74YRTf1MbkHBR3xDTymUJozTJV5g408mvBusS3HTu08/mvfqOPfTpt7ZwxRem3UBa5a6y3j19atxq8+GTpjh/7bsdJ2eTAEcLFRRWbmI++/mlbvGC3ORJfuUupVNAZBdVWryiet770CPslqdetiWfrLYFyz+yvuGkhOpMblcOHZCr0C4aVzL9t1994cqgSdf6jbbN4UX3tCYv5aBvSwZBwd8zC2fe5IRpGlzreL5Jdz9gD3z4lSvD7S8tN7FVvFooIgGDJlZkTlTRSQrvtn3znW3LrRt5Y9Kr2q+E2hLEycNRJ/Y1pSuG4q161U5EcdTzI6+jP8V54jkDre0hh9vdb34YxvOmU3e+viK0O0zRmxagPb3wHqf3P3rnXTLoFNP7Tu1Gi9Pue2elayfzwnbV44wz3fNW7yIfJvH60qMP2cRzBrkdyPoWqo5NVVtUGeYvfd/6jjzftJty9Zef24X9epkmORLjKKhZzG6acKFlZmbYlfPud/W1+KNv3OSx0lZdzggFnNr9UtA4vwsn1MaFwms9+5TP3kNHxt1TE2670xS36kATMHqPReNWG9Sk2UPzZjvr6L0gDiOuvt6qb1zDtGPTv8edx+wfhZfAa+lzT7nnnO6dBeE9JH5qj1qEqJNXVLZbL7/Y3Q/ZQXNc9N7Xe0JtSfWnOHSVWZ71btCxsurLyexVURnssOtudv+7n9mURY+5RS6KT+9qpSt7ucuuIEocdE/OmXyl877nQe3txoeeNtWvlAQE6ofJUe9Uf9/LrMlALbJ65YlHZbSOvU42nXSke0kMpzzweOwITt2vt111aa4CRu0+umPKJIvWg05G0SdaFLnqf/7119p1o4fbEcefGGsrausHdTlGXpzQUMLD9evXOXP0x3+SYscWLa32FnWjTugrEQG19+hYR0Xv3Ke/JXvPyk1KfdvhPTqZFsjpeSG7ZKpqtWqhgGB9Midnp/7rGYe1M90z6lc5y8hP1WrVLCMzM2Jjrs+rBVrKsxzUHxxy+WTXP5NZSs+ef//NSldpvBi+G2Sv51ezVm3s+gtHucUn/UZdaBI+6/7Qs1r9d/VD5TeqxKg4fXbFWdi+bTT9D9960+684dqoldMr/8eeNsiCIHALOpVH7ebs0qyR+fe581ion/w9vxP2s5WW9ykB0EnnnGsaW3i7kri+89rLcSds+TiVXq+zhpuEYaeOuShO8OT9RK+q34UzZ8QL/A8+zNR/1zPc+9W8ghbx6f365P13m3Zqq0/z4O0zbcXS17232FXvYgmZ1G+JWYYaCc8vm3N3THj+9cpPTQL5Tjs2NC040Xsi9Bb3L4HQRaedZNpF+O2XX7gx5NeffuIEfVGPeneO6XOcc5e98vfXf/9r6hfedMnY8H5LvjhOfr3aMxx/73lge28s8atOYfInebXr2NnFL0bjz+hr2hTwCoJ0x6QgP+pf+DYa7dOpT6GxjhaQKJ6nwj71UwsXSFsgpT61+kfqJymA+t3qP8lOfdro5pAXQ0Hr+NP7uL61/CX2zzuH4z/FobHglDHD3bNVZq/U3vWM19xIRkaGaTyh/qDSUj9ffRzZaxw/eeTZri37sMW9PjDnFnvh4Qft8rn32F3hOECfa9R17IxZpo0xelfcctlFJZqm8qy5GM3JSP/k/QvsjWeektYpPTfuuG6irfp8pTNL2C6huzNk/2gRqoTIOt3hwM7dsm3N9Rfvu3W6Tc9e1HNQ6KYyPRSOvcVUY2X10e+8frLpnlPAHXdrqYtTmeHcoY9PJ3Pq3eQcsn+0kEjjTNWF6nr4pKluTO/bmz5x9+7rr5jmV7KDJL388euvpj5+9Y03tusffML1n9UHVttRXUugPvPK8e5TEhL0a3wjd/WxNdbQM14R6xmtd7j0Xmn8VVJjVh9nSV01hrn4jJMde/FTef04Sn1zPwZS3d540Wj33vZpl9QYtjTZ+7xyhQAEIACBsieAAL3smadNiurYS4gsIaw6ZzkKFlpowkO7gXX0ZqemW5mO99HR09pBpU6rOrCht1z/NUGkXRHyoE5Qk51buEkXmYdccY3tm3Dcn9LTpPH54cBWHU/5S6Y++2CF3TVtStIVlfIvAbzfTStzVGmQoolcDah6tGpqr2RP0kb9FFWv/CttDW41yPUd72h8P3//XcyoXdh7HHRIzOw14jpvytXhZMFZOQZR3o+uErzlJQyRn6IoLQB4fskDpuP4Tjt0P9Mk9S8//eii0qkBtzz5kunY/mETp1ir/Q7IMTmnI1u1ElarvRM77RLAtG1/mEUHPi7iPH60O+D3X9bGfJQUH02a3HfL9Fi8KtvAcZflmMCSkGj0Sd1jq7o12L7lyZetx4CzwsmhDd+/a7pbq6QLQt588TnTZE1im9YRabHEk2gKG05ta2wo1NI9lCQ6Z6U2ekfYtnQcpyz++O1XkyBHAzGZ81OfvPtW0p2v+YWTe63am9mAsZfavFCQrglLCbjUrhCkm/UNhdRi44Uw+i5i+249rN+5Fwqdm7TUAgZnKMUfCbpGXnOjOyUiCAI3qXrcwLNN97qS1TNNQifpvdK7RJNFmnyQ2qv94d4p7vrRO8vd5JEW/Wyy6aZxbjL8tvZn0yS3jhDdYZfdZFUg9cHypaFA80rnV/fmpeGk685t2praVxAEboJYbDVRLk+fvveO3XXjdW4SReao0v0h4ZqEbJqE0ITE3od2yHeXUXSSumMo8Bsw7hKXbhAELnrVa6+zhtlxA4c4syZqv8je2eAsIj+a+N2u+S52WjipvfEmNWMu4nJKKMD2kyISVvz9118xd9WL6kcTK2Onz7IOPXuHwt6NnbvS17PXM3CWCT96bmtCSRNHmrzWZJm+iaq2KK+6f48Ln3mjrptuSkPPm1vDyRtNxMi9sEr3/i8//2TjZ95pLfbax9VXRmamtdr/QNMJN3oeKy+zJ11WoIk5TfDfdtUlbkJN+VM+e4UCApVdeVM52hxwsJsEVPlkp5NRvvj4Q2mdUlvS+04GTVqPueGW2L2g8Id07e4E/OrPyE+i+i1sw5pQk/0+h3e0Y08f5O4hmdUetQjxrEsnOmGN3gfPPHCfnHJV6q8MHHep+TLoOujiy63n4HNcGKWl4ymdIfwpCQZhNMX+V9/Pc9Q9ee6106xxs+aWkZnplOp4zPW3OEG96njhbTeZb8sSvGuSWJlQex08/gr3Xg2CwLWRHXZpYbrHFa/8LArDqj8nfaLS0bsnhKz0rq5Rs5Zzrt9oG1Ocuo90v0t4s8+hR9gZYyfEOKutDwi5NwnTUqB3X3/Vfv7+e2nj1PLsT1K02v8AywwnVeMcMVQaAnqnPHLX3Fh59Q7R4p0gyHr+xxxCjZ6X2s2n/nH0VITQKce/+tc6/StZ21I/eP4N15h20a7+8vMcYb2F3sd6dnmz+pU6Flr9X9lJWHDr06+YvtOu94fspHbbZz+rGfbZdI9oHKcForJvsM22YZ9xvKnPqPtTfTlNeOt0EwkNNGZ8atE98hpTymtxxjQ/h+OmwvZtY4mHGr1vJXxXnkNj7P/Es0dY136nO3PW2O0gN+4ST+V5+sUXmN6LzkMJ/vwavidmX315nKC280n9bPvmu5ZgKmZqa3q2qg6jEev9OPTyyaEQboRpoeX2YX8j6m5JDK8//aTpNAPvpOfnVts3sTumTPJWeV71nP9w+bIcfvRJs8RxrN7942bMdsJzf1KCThx5MhTIKx4tONF7IhqZxjI6re7tV16MWlv30we73aPeUn3MxPFY6/0Psk1q13YCrWh/wIdJvOrdM+Syq3OMFRP9lYRZ76vRU2829UkPO/Z4F6XuU80xaK7hFQTpjkleP68+9Zi71zaru6Vb9N5w2+1cHywIAte/00lpslMc+ozG79knb8hcEmrtjz/Y3GuvcnnQfXPFHffl6J9HxyhaIBs96UF5ePbB+235S89La+rL9wrHE7WzF+1pDk99nD7DznPuasNaEO0MJfDzXtj/UXvffZ/9HTdFGQSB7dX+iLAcJ8roFoNqbs4ZSuhHi4m0OEGLtnTfR8cC4uPnOtRX79L31LhU9ex7+fFHnN0hR3eP9cNlISGrNvJIr770sElTzC/oFNOzLrkqtlhZfjKrVLFtd2wmbUzp5A3tSNe9+Hv2yYJyVB/89slXmjYOaXHBhNvmm8byegcHQVZ7O2/qjNjn7RQmN7Xy/fdM74oLp91m2++8q+s7axyhxZ4dTzzZBdOnVl4OnwHqT2t8I/eMzEy3ucVv8NC7++2XX3T+/U9Jjll9nCVx1btKm25Wfb7S9J4aMen6sI31jtVfrbBPckbYV/fPwteffsLeW/qaS1rv6pIaw5Yme5dZfiAAAQhAoFwIZJRLqiSaNgS0E/CiW+a6XW6abI8WrM0Bh4SdvuPCgecOpt2McvslFKK+EnZItaP61Pb7Wtfm25q+w/P+steTHin2wkMPOsGPwlbfaGN31JImMNT5P/SY42IdcblLqVN73XnnuEGGzF6p81q1WjVvdNdlLzxjv/38s9P7H3W81KGWAF6T095e16a7tbTpjz5nA0MB6fKXXjB1ntevW2f3z5xeZIGg4vVKK1CnXTTGku14lx91BHX1ShMEx4fCFHV2vZ2uKoMmBpJNSsivOuTy59Ubzz6VY3W9dyvKVRNVF/TtaTr2SZNIiXG0O7Jz3O5luWsH3BcffeCEUjqur99BbU31ILeo0mTbMf0HmATHT0d2Y0f9JNOrnW5SK0vgVlJ8FI8+JaCVwkpT9dM/yYkImhjUSlgJteRPEyfalVmnXn17auG99sj822Xtvq/Ve2j87hGloYHwuH4nOma6p5zn7B/tapefbGPsIrvChtPkkVanv/v6K7F4vEZCuCDYMJGre9APptR+koXxYROv2zbdyXQvJ9oXxlwrHAD1P2+szV+6wrSLX4NkPVskSO+1VwvXdtat+6cwUVZov5rU0eR1EGyoI1+gXfbcyzRIl/nLiKBP5pJWerb0PPMck0A8Me59Dj/SCTll/9yShbb2h5zCJLnlpjSp8OYLzznnlvse4K6JP199+rF9Ew6aJWjbomHDROekZt0rfnJf+e8VToh7QVk0QBAE1qVPf9MEg+xfeHix6f6TPqo0uSXhmiYtMzIznf9u/c6Iekmq15Fym29Z3zTR0+H4Ey0ziTAtCALT7he1d0Wy6vPPdEmqDj762KSTs/W23sZ23HU3F+arlZ/Yf3/71elVH6o7sUjeAAAQAElEQVQXGSS4lfBD+qgKgsCOPOEk963NqL3XayLix+wjBTU5pwki7xa97ntER/OTN8uef9Y+ff/dqHOh9N1OOcMJRxMD1du6kclN9poMzE/QJH/aafbGc09La/t1OMr2OvRwp0/8UbkklA6CwPVP1E+Rn8S21DWsd71z5RZVTXdvZYd17xm1iunX/fNPrD9RtVq1cAIoM+bmNbu0aWtbN9nB6tRrYP/7919TGO8Wvcq9W78BlpEZH0cQZNWjn/B94t67nKBEYYvLQHGUhJJQX30w9d16Dh4am/yKxq1jMLWAU7tfq1XfyCQoibZj9dm0yDAIcj4XdY+fceEE997VxKp22OgZE41f+tyerVuG7Wv75jvLiymPSiexrvWe2mWPts7P77+uzfHM0yS7/yRF0xYtnT9+Kh8B9VUWzJjqFoep9HqH9B89Lmmb1ztHJxnpdC35TVQ6HePInidZ1WrVnJOE3c88kHORjfp7Vw0dGFs45jwn+Wm1/4F2cNfuMRcJDy878zQn/JZlh569bcgVV7t3zX03TzMtyJF9w8bbW/fTBrsxmvL88mNZggi5KQ59C9YLn/VpEgnktatX7lJ//PqrLk7puVqcMY3KWpS+rUs8/FH62umn90hojP0fc+pAO37wEFv39z/mx26rExYi6H34dfiejQUqIc0LCSdfSTjT5eT+jncJJeGiUXk+SCK07hz2hfYN3+NBEOR4v1iSP42Dbrn8YtOz1jvvF4bXfIB2n3q7vK5BENj2CYJ6jb/8J958WAmyLrjhVmu0w44m4VD0pATvR9f33ng1NvZVHc+9dqJ5AaPcpdS+u0QEa2q7F4TjW42B5C6lMd0p554vrXXs1ced2nT7S8tD/cnOTj/NW+1hWpA37qY5Jjct4NK7RW5lpdQnlaBXJ01pZ67GrBLeSZCuhe5aUC8OZZWfipTOH7/+5rKbkZFpGic4Q+RHbU59ZvVFNNegOY2Ic7G1eq76589xA86KO0rcRx4E8WMUndigZ5/clR8dSy29FvWpvxIEgYwxFQSBHdDpaLfopF7Yv/l97dqk83KxAIXQaPe1+r2JQYIgsLYHH+as1fY+/2CF05fkj56NXhAshlrEo+fGzCsnuGT0rup/3jhL7L9pEafmNnSf7nnwhpMioosZdt1zbzv2tIE5wlarXt06HN/bxa+f2nXqhuOUbaSNqdp1tjAtBP/91/i+YVwfPHxGNm/dJhbGa5RXvX/UV/B2uV0P7NQ1TLtRnHMQBNam3cExuz0ObG/qT8cssjU77d7aatau7Uxfr9yw2UMWJT1mVZwloX767lt7+fGHXVRaoJFsHCd+ugf0GYGttmtiv/z4g/Nf0mPY0mLvMssPBCAAAQiUCwEE6OWCPf0SffWJx0yrwH3JNDEy7ubZNnzSFLvp8RfcgFI7Cxe8+aHb+dPxhD6xicvXs7/DM6z7Uabjvn0c6vi/8dxT3ui+uaxJF3Uau/Y7PcdEgQa2144eFjdAV2AddXTRzbebFyLJTkrC7+hgXnbJBPASHp577TSbfM8SkyA2MR33HdP//U/Bi6x+Cwcq+l6nvm8bjSQjI8PaHdXFrl7woF029x6LDtx6DxmZo1OssCrDrImXShunOvfpZyOvuTEcEMUfI6pJ4/9Z8fIfTUjHLyZOQkTddTRej1bNrGOT+jF1bIsmNvDIg0w7Kr5OMtmkOlAdHnvaIDdZ8+5rr9i6f/6ORpurXgKpPsPOcxN88lRSfN574zW3s15xSnUIJy33PuwIaWNKE6Pzb7zWVoVCPVlq0YOOuZSA8YHZt5hf7KHO/NArJscNijWYfOK+u+3KIWfYVtttbzqKcJ/D4z87oMk5/909xS9VlHDKp3Y0JdabuI+cfIO1P6aHKV7F79W6dVnt6I3IkWjeLberBrJ+UjU3P4WxV/56Dj7H5r++wiQMkVlClLnXXmW//vRTYaKq0H51VOOm4WA8WSH8IF1uf2RPAklfGmr3ffazJrnsgFKb1yBd6a764nMn6Ja+oEqT7CuWvmaazGjcbKekwbSYQ8917R5Xekk9JVhqx69fDKKJiia77JrgY4NRkyLaQSwb3XufrnhH2jgl4XS9UEgdZ1kAg55tt7/0ps1/Y4XlddT1+gIsDNG7rlGTHZOmqp0mdULBqxzFyr8DtfBA9SL7VnnshpXgUe9U+Ysq7f5949knnZUEzGoLzpDkJwgC08SCBI96jnv+SbzmaaW2EJ3YSvSskwr8Tu/l2Tt9E/1Eze+F7ctPjB98dHfTcznqHtU3CyeWfD0tf+l5U9/kj1Do82G2sEFtqXGz5tEgMX0QbCh/zDJbU6VqVfNt97nFC+3BObea+kLZzu6iHS4zHn0+nIh/0+0kUhjnkPCj94UmQhOsnXGL+g3MC3e1U+Kn79c4++IycJEU80dt6d3XXnaxbBUK4nLjqEUmo6febHe+/p6df8MtpmfdZx++HzvVZb8OnaxW7c1cPMl+tAih5b7tnNO7r7+adId4Xs9WFzD80QJRCS5DbY5/f6/lcAgtvvj4AxN79SvrJ/kkReiF/0pA4LnFi9wnNXxRTxg8NK4v6O0lYB7S9YjYSUbeXuME7QLXAt8r5t1nOnHpn7839I//s/HG3qu76nlyXThW0iIwZ5H9o2dltL1KsKBdg/55pHDaweefkRIe9D9vrP27br3dduUlsZ3E6nOPCsdMeg8oak20630pvVcaxx0/eIgpn9eNGR7rI1v4FwRB3DuwOH324vRtw6y4/8S+viyV/74jx9jKFe+5zxUljt3kR0rvuI1q1JC2xJQWJGic5SMMgsB6n3Oue/55u5K6Rt8HPk71448fNCTHGNy7J17VbrS41Y+D5K42cki3HqZP4shcEHVkOG+w+777x7yqbtUef/ou690lh7oNGtq4UEi99fY7uG8uj+rVLXbMutyjSsKnqv+p5qxUx0vumO30/qdl+G5Q+/b9AN1/WvDv27/86R7QGEn9IvnTe1Xvg9VffmFalCU/GvedG94P6vPs1f5wq1OvfoHZKXwRVJ5BlD+dQhM9yWv1l5/bvTffYInjyTwjqkSONWrVdKXVc+zmy8a5xbOJY+KzL53k+iJaHKF26AKUwI/maF567GEXk4SZe7ePn2dwDtk/GqPstvd+zvTlxx+5fMrww6pVpuew9Or31cqlX6R+yKzn3nCfvDlu4NluvkVhiqsaN90p6YIwxat+m9490vt5BelLUh3Q6WjTLnPFed8t0+yywae6Hd56d+pULv+ukrtX/sQznVikxc3eXieNfPHxh+4ePvqU03It11Zh31X1pXCNmuxgWlghfX5KfUL/jDmwczfLTLKYWnFE+68y56Z2aplTAJ/oV4tNk6VTo1Ytq75xjUTvzlySY1YXYQn9fPnJx6b5AkXX5sCDcx3H7bLHXnb3sg/cHPVBXY4xjTtKegxbWuxVNhQEIAABCJQPgYzySZZU04mAVnJOu3hMTHDdoWdvtypfg8nEctaotak7svvMS64KBxrv2snDR8e86KhufXtUK9VluToUsvgOv8xSHXudHE4Yj8nRIdIAQ99W851O+VWH/NxQYDz6+ptMghXtZpK9V/UbbWMbbbKJN9qnoTAkUQAvofOcF5fZQWEnNiMz05Q37WSIpqNBtgQWsYgKqdHkgo6NW/b8M7GQYtd76Eh3VPXoKTeFA+4GNmXMiJjQuNX+B9o+hx8Z8+81iuuecBDshSKy10BOR+meMvIC88fXyd6r+qGwp7g7gn1cuvodjdIXXW0I6eug7SGHuQGLXGqEnXpdvdqxxe7Wb9SFNu3hZ0zCcm+viYuJ8xeZ3GVXUnzUDjQhJOGP4tXgo8/w8ywzYaDzwZvL7Il775YXp7ToQRNqWiwxY8KF7p7RxPukBQ/afkcc5fzoR0fg33vzjaZj7CUM1HHEGuBt2XBrOcdUrc3qmI718hZFDaeJoWg+FZ92umpCVsd+PfvgQlnFqUbZAjo/sSBHDUY1eNf9LQHP4T1OkLVTmmjy5XAW/JQYgS0bNooJ3Uos0iJEJIGiJnByC7rdTjs7JwluNQHhDAX8+fzDD0IB13eWOJnhg2uHhQTsQRCY2qC3z+/6y48/2s8/ZH0WQztyvbAgt3BbbdckthhnVZId4PW2bhROOGycW/AC22swv+rzlW4l/dxrJ5o+fXJc651seI/OpqMF84pIuxo0KZWXn0Q3PdNUL0EQmJ5Jie5RswR+UbP0f/73j9hknTjWqLmprHNVWmRQu05d5/51ws4GZ1mAH6WjHT+5edVktoTscld/Qkylz035Exr0PtfzNjd/stc7SG1B+u9WfR0K0P+w339daz98u1pW7ljPvNpStPwuQPZPrc02ty4n93cmvcd1nGCPlk1NJ7NogZme1RIcOA/5/GjXWxAESX0FQWCNswX8a3/43laHE/7yWFwGiqO4Su1bu3wUjyb7q/2nurQFUqtDQYCf2PbPm9wC6n2t54ncVXfiIH1U1anXoNgnpkTji+pXLH3ddM9poYfu2agb+spBQAtyp118fqywmuSP7nj1DvKXeGy0xgmaxJYgbPikKeE4ob7rM+oZ4cNJ2Jm44OnRu+6wROG5+nn6Rurg8VeY+nGNwgl/fwS2j0uf/NBiIZm1mLdPOH77cc23NqxHJ7t/5gxZm5451y18NNbnluWHb8Ufux0dx70cCoa0u1L+vNKile2yn03F7bOLRVH7tsqP0p9z9eWxsZfslH+NM566/x4bEb6P9cwRM+3qnf3CMtPnaDIys079UJ/IP2cVtrhKzzYdqe5PtFJ8+x/ZySSYlb6klX8fROPtMeCsAgvr9a5KtjhXu2glVIu+I2uE8wM6WW5cKADXd6AbhgIon64W5Q8Yd0nc2F8LK6LtWO/OC6bdZrU2r2MXnXZSKBC+0QVXW75w+m2m7zzvc9iGcbO46R2g981dN14bV8car3jBuCJRO7rwlBMsOo/QMMzfiKuvN9/HkD8pfbJr8rlnu/iCIDB9Xkn9QrmhCkIg9fxo8Ybal3L2/JIH7JQD9zT1xyePPNv0XNRzQm6lof7v9z/CuaevXNSbbbGlbVqnjtPn9uP751rU6QWJv679yf77++8uSL2tGrlrWf7oXinL9BLT0rvy5BFj3GmYOq1OQmr56ZBk44PspT5+e7kupjkYP8+iMYQ+6yOHRuEcSIu2+0ibVNUI56m88HmbHZvmGBf+8euvpnFTYuAvP/nIWeU3DtGzy/dfXYAkPxqPJz6fkngrESuxWVXEMWuJZCA7EvXj9Z6UccuEOTPZ5aZUF1qcJneNLYs7hi1L9sozCgIQgAAEyoZARtkkQyrpSkBCixvGnmd+BXjLhBXbeZVbHdr2xxwXTvo0iHlT58vvOverP72jVvwnDqC926rPPrNlL2wQQNcIB+L6RtRBXY5xx7Qve/5p7zV2VafYD941gL79mqvMC8Y1ULp09l3ue8sbb1LThdEASUJT5dFZhD+aXFUZQm2R/x+acE7AKgAAEABJREFUN8f8pJQiEcOZz75mvc4a7nZPaXf65HOHxHZoBEFgOsbc511hvNIihI/eetMbTYOWiXc9YPru1JqvvzStso85Zmta7ndATDCdbVWsiwYk4l+cSNTx7NZ/gDu5YOC4y8zXgY/z0G7HmSY/ZD5zwpWmCTt9p251KASYe+1VsnYnHIy6dro7xs9ZhD8lwUcLRrQLwbcDlXXgRZe7ugqTyPoPf9evX2dL5t7mJlFCoxO6PXn/AuuzXyt75YlH3USQF/pLAC8/Uv/887fbOaHjxVq3O8gunD4rNkFTu84WpoUh8ie12177Wma20F4TVTOvusQKG07x6Nto68J0pZfq0LO3jbnhFpMASrtDo5NGcteArHH2LmC1U+VfE4gTbrvTrrjjXtMJE68/80RsB4baYbKJJsVVHKXd5vNvuMZ67rmzaUGCzGorvYeeG06ibV6cqAlbBAJin1ewaPvV5EFefhPdlr/0nLPaNZyw8JMZziL7x++wqNtwK9tmhx2zbfO//PXn/5kG/vKpdqprXkrtPAiyhJJ6byT6LUgciWG8WfE9MOdWO2nfltZ1521NnzmZMOAUmzf1atNRp7//stYyMrMm5n2Ykrp6wa+evTU3rZ1ntHXq1Y97DsnzusjR43UkdEzY9Sg/USWOGZlZXdC///7TtPgn6l4QvQufXRfJ/GvnZd0GDZ2TdlbpmewMufz8kX1Cg4SZaqu5eHPWQRBYZvazV0JQlf/3X34JJyl/M/3l1w4yMjLCuswqv/xHlY5+HDA2Xljw9cpP3CdOtANVn765dPCpsZ3W0bBRfX73o8+jJpvU9hS2uAwUR3HV33/9aV6AXpC2FE3vj3BSUma9J/OrQ/nLyMzUJRRkrze9e50h8qM6DoKs+z1iXWzt33/9ZX6XfW6fpCh2IkSQ0gS0+1Z9ST/u0P3YP8lRsno2Tx55Vmx8okJJKK5xQv/zxrq+p8Yn2lW+/KXn5eyUhNyDJ1wVJ+xUX87vjHWewh99C3RSOE7YarsmThB75+sr7IaHnjYdgR06u3/FryOBnSH8qbXZZmFfc7wNOOIAW7niXddHP/faaTbxrkVxJ2OpX6ojacMg7l99ywHZglCNHx+9+w5nH/3p1Luf1c7+Nu+Hy5dZccY0xenbKk8K/27ks0YSnmvh9w0XnmsaD6p8Wmw66/mlpl29eo/dcvlF7n2mscGAsZfmukNR8RdWffreO/bIXXNjwfSc63HGWW48EbMsQc0f2e9EH2WjJjtY6/0P9MY8r2Jz1w3X2SPzN+RXAbQYWosNNM4WM7VTLfS4+YkXbdjEKaajsG+beKn5MZbajE4r0JyBwkvp/XDn1Mmmd5fMikvjD40BzuzU3o2pxUaL6Kc9/Kztdcjhprb26pOPyrv7Jq4+0yLDO6+9bNEF7Bpbjrt5jmmcI3e170sGnhInPNf7+9TR49xx1/LjlRYiRj/ZtefBh1peO4Z9uLK8ar7mxnGjrdeeu7hFBqqnBts0tmNPG1xqi8XKsnylkZba5/iZ8+IWl+q5rVPiLj69j2mRoz4V8MoTj9i/69eXaBb+jvSHJFztucfOsdP7oif5eb3y4zPg7yH1TdVPlb3eM7pWNiWhqITovtxq8yecOdQys/vx3l7Xv8P+me4T6aOLaX/67lv7JHwGy77Z7q2sZi47+eWuZ5S4S68Tq3SNqh/WrDa569m1+Zb1Yk4/rF7t9AUZh2RkZvVfXYAkP0EQmJ5VVkp/GjeU15g1tyKpvyQ3Pf8LMgaQXymN4dQnkb4g4w5xzcjMGsMlG8MGQVCq7I0/CEAAAhAoFwJZT/5ySZpE04HAw6Hw1+8eUCfwjHDSt0bNWgUqmr75re+I/xh2IqMBNq+b1ZGMrnzXd2f7nDMq10mCLz7+wCRoVjxBENhZl1wVOwLxs8iRnnKX0oC97SGHSeuOkJt6wchwAP2sM2vS4+Jb7zDt8g6CrIlTDTCTraLXd0z9ynIN5DV54iIp4I/KvuSOWTHfEkSeN/Umk+BSluoIXtD3eHv7lRdldEo7GpJ1xpW+6kJXeVTnceTV18cG+MmO4lMnsXnrPd0khL6Z/dC82QpaLKVBhXa85zd5n5iIBqg6FlA7l+97+1M7bcxFbrVwoj+Zn7jvLreDRhMr+o6R7DRxcUv2N/YyQuHE0Msnx9qA3KW0UryofJ5edJ9dMrCfDTj8APvi4w8VnVPHDzzbVG/OEPnRKlhNkHorDTRUP9oxKcH5/KUrTEJ/Cay8H03+jDyui9vNo0mc0WFbqFm7tne2335Za4pHFqo7Tc5IL7sbx55nOpqsMOEUVhOq2l0hvZR2XmhSVpNVGkT6I63k5pUE9xJU/vV//2cX9j3BtDCh78jzTYsx5OfDt960O2+4Vlq3kEE7OaKDUNXBpyveiZXFeSzEjzjNDwXnvfZqYXMmX+niUXsbesU1Nu/Vd0wTwsp/IaLEawoT0CTD+8veMJ3esHObPZPm9JP33ja9A3Zs0TI2+Z7UYwlaRu/d4karZ/3Inkfb9IvPN+3qU3xqwzqKVCc5aGL5tmdft2vufSiH8Fp+K7KqVq26ZWRmVtgiqF3mdox6UQqVkZlpXU4+1ea++rbpkx/+BBUfl3amv/jIYht05EH24qNLvHW5XkuaQVkXJrNKplWtWq3MkvUTsRLS+MVoZZY4CZUrAfVfpl08xoZ37xQTyqnPekrYh4r2k5RJ9ZW0yFbfKpZZ/vS5mjHX3xwbJ6j/d8tlF7k+sfx41XvICNtlj7be6K7qJ6/55iun14/6onrGVM9e8BQEQSgUqG1698hdSvFrrLYyFJTLLPXTd2vsgzeXOoHS8ElTXb/roOyTuuQupTHetIvGmBa2yqwToaLjOL/oTW5eScix92EdnAD6mQfvt2tGnePGJ3Iv7JjmyfsW2OvPPKmgThWmb6sy33jRaFsw4wYXVj8Snnc/fZBpTPb4vXc5RupzXnDjTKtTr749t2SRO85d/WmNhy+48dYcYxDFU1SlBWA6mUr9bh+HFls12aWFN5b4tUrVKnFxalzsFzfEOSQYNGaW8PyOKZPiXCS8G3TR5W5BsQRM08L2oXodeuW1JmGH2vuSubNMYyUF1IJyPx6RWUrt6v5bp8fGYWIt4aba4/l9jnP3lMLd/MRLdlCXY+yXn360y848zS2y1btT44PTzx/v6k/pPbd4YayNaUx57rXTYosetJv8ksH97fvVq5R0THXu098Sd/1/9enHdmG/XjHBv+YZup9+pitrLGA5anTPSnCuRdz65IBYSIg4dsYs0+KFtqGwPwiCcsxhaietcf6Mx5+3S2bNtwOOOtq1n2iONS+g78nfGLZptf+oW3npi3IkennltbTTlXD0mQfuiyWz+svPTe8IPQNiltkaPWu16FZGzS3oKqWxqN7f0m/dZMc8N5/oftMpABonbrVdEwWJKaX58uMPu+dO46Y72SabbpjniXlKcc0P3662yjpmTayaij6GTSwPZghAAAIQyJ0AAvTc2eCSDwHtxL0vHMR6b43CzuSWDbfyxlyv6jjqG0KDjzrEnlp4T5w/TXC02Gsf16n89eefY24SGqsTGrOIaDTRsWjWLTGb1u0OilvxLXelGfMQalq3O9C2a7azPRN2psec1MNNBK3L3oGrCR4JgUNv7l9hH553uz129zxn9j9aMXrosce5DrQG9NeOGmpvPJdzp7v3n+z6ZeRbPXI/uu9pbjeJ9BJKDu9+VI7vHTZvvUfY2d5UXmJK6WsiQuXxlhLuN929lTfaH9k7s2IWoUbC1s22qBtOEl1v+ta2Jn5C62L9i9eykIMfZEj4M+u5N9ygc8z1t5hXl4SD0DkvvmkL3vzQHvr0W5v2yLPuSH/tesnIzF2Y8uIjS0yTAEcc18sGXHiJG8RqsHPn9ZNjExftOnax6PfIlSctEHj4zttjZSsMn1mTLrOJwwbZS489ZNGBsYTI+4STfUEQP+mghRSaYPshHGD4BHWs2tULHrQ7XnnbCc6jgzL5WfP1V3ZGKJxXvWsyTjvwo35UBj/g0iTqgLGXmD5D8Mdvv7rjnR+56w6r12gbK2g4panJofN6Hxub4AyCwLSIwS+CEVc/iJR/KaWtOv3pu+9sSLcj7ON337JDjz3enYoQBIFpkDrzyvFhe/tF3q1r2Kaj95PYaBJw/Oknx3YZOo8F+Pl17c9ud37PNjvHBOdakKBJzHmh4Fz5qla9egFiwkt5ENCEqZ/89YuECpKPb7/6wr785CPbqvH2pvdMYhjdG8tfzNqh3mr/AywzyY6CxDDerFX+/j5b9flKb53rVZOOSk8eqlSJn1yWXVGU7rM7rpsYe9Zrd+EtT71siz740n2fTe1bR5tqsVYQxD9ripJesjC+PlQ/qqdkfrxddCGPt9Mx25oAl1kLw/ROkj43JY7/rv/XOSdO0jvLEvj567//jU1819Gu+I02zjPWLRo0cO6aJMuPgdqA6k0BJDzWc/E/1TeKfVKjIG1JYfNStWpvZnrPXbfwUXvgw69iJ63omadwehdNv/gC+/arL2UstPJ5VP51HyiC4jJQHMVVhW1L0fQK044VTu8jXTMyMst0EUd+n6RQnlDpR0BCaO1UfHDOzLjCqa/eYu994+xk0O7txXM3+O0bCtm1uCYjM6uPrPGNhPGPJoxPJOzpcMJJbnyieKTWrfvHnggFv3rGy3xgp65hf/GMPNv9z99/ZzoOe8kds+2fv/9WMKda7X+gTX/0OdN7qn23HjmEhOrPjurVzXRc/E/ff+vC1G3Q0HQqiDOEPxvX3MR0TG2ojf2r/3jThAvt+D12tquGDrTMKlnllIfC9NkXzLg+FL4PsZ+//15BHYeC9m0V5oohZ9ji22+zNV9nPVslWD2k67E26oRu7j2thdZX3nmfqc/5x2+/2RVnnx6qM9wJJHp/T3v4GXfyl0s8/Pnk3bdjn/cIjUX6f3/ZUnvx0YdiYTUG7dynnytbzLKENRq3RKNstnvrqDGpXm1y+kXn2x0JwnMJukeFwmktEvkjHLeofn9Y862Nv3VubKGBdtj7cBJAnzRsVEyYrcS0SFI7bDXekVn1cP4Nt5pOCtB9oH6F3pkX3Xy7W9Tw2lOP22mH7ufGburnnTdlhklY7xeMrAnHXUuff0ZRuYXQur+qVKnqzLpXtVgiely+HLTIQyfiBcGGvthbr7xoZ3c53L4K+6nyI7X7PvtZ0xa7SxunxGfe1KvjFnfEeShhg/oH+hxY7312t8Vzb3OfDmvUZAfzgvO9D+2Q5zOghLNToaNT29Ack9qR+uda1HrmJVfZ9jvvGivXQ/Nm24vhPEXMopiaKlWrmj9xcL8OnezBj742zZkURPU440yXuvp36ufJsKoA4xz5q6AqabbVX48uzMnIzHqv3HnDNXEnnCQNHLHUKUXr162P2CTXKr3Xnn7cOeo5nTg3qvHsc4sXOfc9DmwfGzfIokatmrpYQcYhzmM5/Kxfv87Ke8yaW7ELOyJ0hcUAABAASURBVAbw8RR23KF3TWmPYX3euEIAAhCAQOoQyEidrJCTikZAAwStsPT5fn/Z6/bckgfczgFvF71qN+srTzxi5xxzpI3u3T0U2n0edTYNrk87/2I3WJbQ7sfIznSt4ozznG34IRRQanLnw7eWZduYO14uKmyXPgiCmLs02tHda69d7apzBpkG6Q0bbydrt7NPAmpnCH804aRvo/mBuQT58h86hRMnvdzuCw3ANVEkgakGxnIrqFq/bp1bLCD/yqdWqWpCV0csjujR2U3+a7JBu7PlR0qCAF298uk/Mn+uNdg2qxxya3vwYXETKzVq1ZJ1nNKR4j1aNjXtLqm/TWM74cxhce5FMWhg4BdWaOBw3MCz3S54DTolsPdKZnV0a9SKXwyQV5pqbzddOtY0kTZw3GWxSTtNMr4QGbDu37GzZWYL0XwdaoJL36Hy8ReGz4LpU32wuKu+L3bd6OGmySDv8M1nn9qw7kfZnKuviLsXtDO2ees9k05U6AjBAR0OMN/mtQNVu5P0eQTlX4MxHRX3UDiJqXQ0ybPvER3tv3/8bqN6HWP++ME1X33pdjXlF07xPbt4oZ3d9XD77eefYu1EAvgmkYkAMayeIHTSoEH3zcn7t7YvP/7ITTrpGP2MzKwB6Yo3XrN3X3tF2XT143fJy0JCtetGD7PZV19u/UePMy1AkH1+SvWuRRPRIwclRBp6xTU2+/ml4b14gksrv3gqhnvFzeVnH6yIPc+SlULustdEjp5r0hdE+c956GjPmqFQMTHMb2t/tg/fetOddrBLm7aJznmaN6lVO7aTT4vCNIGfVwDtdNdzPggCa7zTznl5LbCbniOvPf2E8y/Bx9mXX22apA2C+PeWPEiw6wUgMpeUUn2oXhSfryfpk6nVX36eo5432qRG+JxvZPoTxz9+y1pAI3Mypd1aP333rXPacbeW7lrYn1Wff27JFob5eNQ/+DkUAMmsd2gQ5OQpN6+8sED9je+++dpbJ72qzWmCXY6Ntt/BNq5Zy7SbuH6jbWXlPmujPo8zJPkRw5++W5PEJbmVJm61E73fqAvdM09CAvnUO0PHu0ufqD7/8P1Eq5hZ7wDvrr5XnXr1nVtxGbhIivkTbUti9Pdff+Ya40N3zrFjWmxvpx6yj6kPWph2/Pdff9mKpa+5uCXcU3/EGcrgZ/lLWQt+EidPyyBpkignAmpv6vsk7mZVdrR79tbLLopboPnOqy/b6JO6u4l0+WnWsrUdGRGKqz815fwR5oXnbQ8+1I1n5De6GFfm39autSvPHmAShMss1bhZc8vM7ifLHFV6Pnjh4/KXnrdmLdtEnU07fPWsCIL4Z6oPpwXSWpDbc/A5VrXaf1xY5Xf9P+ucXj+1NqtjyoP0Xul5rVM1tPip33ljTYuqvVvbQo5p6m7VKBxPZgkjCtO31Q7dV5541LZt2swlrbGZ+pvnn3y8G5PJUsc3L7ztJrdAQN9D1gJdvbtvWPKUnX/jre5dIH8azy2adbMN7dbB3nn1JVkVSWkc8OCcW8wv9FYkR/Y8yfUTpC8tpT5OEGyo4403yeKZW3p652pMrudy1I+er5fNudv0DpP9Q/Pm2Mfvvu2E5xoXyU5t57F77jTfv9HCW+3OlJvUV598bCOO6xTOHXwRG1vtFLbLB2bf4k7tkh8p1d0T999tGvMpL+qvacw09+W33M7hIMgqj8bOF53a237+4XsFc6fO1Qr7l8qHxkfDj8sagzvHyE+7o7qYyuOtXn78ETv/pB6mzwFFF4Tstvd+OcYlSlPzH3OvnWi6H3wcpXH9euWnplPT+h3U1jQ/oTS84Hzaw89aZRWcl1QfOggC06JWfbJs6gOPm4TqGRlZ06p+Qa+YF1dV37iGS8fCv68++SjPPm/oJem/+ne1Ntvcua2JnEDiLCI/ekfpnjlhz13swlNOcKd6RZxTUqv7SP3gvDKnjQl3TZvivGjx1xVz73XjRT1rNL/3aziGdI75/FStWi1uUVdu3nWfv/zYI87Zjw+cIfzRfNGM8Re4kzI0ztOJK6F19r+ZX6T053//cKdnxBwSNBJiq1wJ1mViTIUxa24FjY4BvluV+zju13DuS/0ULSzS51iq/qdamY9hcysD9hCAAAQgkLoEsnp6qZs/cpbCBCQ8i2ZPgjUJx07cezebev5Ie3rRvaZB6Mwrxjuh+TG7bmc63ipZh0+D0ejgOhqv9G+99IJp0CO9lCYTFL++v6djsnsMOEvWTumIOKfJ/qm31dbmBw7ZVm7gqk637HXMngS9ctPAWeVQ/Drue2i3I91OV7lpkNRklxZuAkP+Dz2mh8mPBJ8SGo+dMdv8N9XkvyCqXjjBU7N2bef1n3AyV/FdMqifqTOnPGiyYcJt863W5lkDH3nUhIy/PvPAfab0P3t/hY2aMt32OPAQObmFAH43oLMIf7berknY8Y/fMfn7L2vdhJ0G1ePC/KvjGXot8r869AtnznADA0Vy/MAhJTrBo8Gp6mHwhCvjJiYSj6fXIFN5kSBoRI/Org61M1vCe+VLRwYWhk+NmjUVLKnS9xHfePYpd4z4PTfdYAM7HOSONN//yM4xwbQCrv3xe+dHeq+0S1+DN+1q0UAucXJKK9nnTZlsk0cOMe0gyMjINB2Xeexpg0xCnquHn+W+Pynhio9T1/zCKb4rhwyw+ltvY+Nn3mlbb591vJjuw+gOoarVqoWTiDspyjilIxFlsXPrPe3ycCCqlbsyS73+zBMx4ZratIRpqgsdyajBihZt6PjEdh27xPFR2ESVbOeEJjKHIjhPRJUS5nfCCf81X284HjaaKU0a6AQH2TXctrHbTS59fiqr7WQJm1rvf1DSNiNh7Defr7Ttm+9sW27dKL8o49y1M0MT87LUDq9P33tX2qRKE7EvP/awc9Pij2122NHpi/vz+y+/mJ4FiqdRk6amSVzpE5XeT35XQ6Jbcc3b7rhTyG8XF43qSfXlDAk/UQZRJwli9j+yk7P6LhQ+v/Xyhs+OOMvIj8rhT9PQs7hpi6IJ0H8KBfBffPRBJOYNWqXxUlhXeq5q0ZsWX2xwTa5rHj7P6tRr4ByfXnSPezc6Q5IfCYfU7uS0a9t93A6SGrVqhYKm1rJy74AfVn/j9Ml+lr/4vGkBXaKbFlKcftj+dnybnWzpc08nOjuzBDqa/HaG8CdZPKG1vfLko5ZbPWqCb9kLWffV9s13Mf/pnOIyULrFVWpL+kyI4vkmvK89Z5mjSs+Gd155yfXntPBFCxgkkNNCR/l78ZHFltfE6OovPrMVy96Q13DSspXVDIUnzlDKP7rf3w/TVdtv3nqPUk6N6FOFgNqrFgfnlp+nH7jf7W7Wu8D1C3t1MwmUvX8JrWvUrOWMEohrrPDUwnssIxTaaEHpDrvu7sYnaleNmmx4N2nMNTQU4Eowrd3iur8UyUuPPZRjgl7PTY1nJgzoaxKkKC/abdu+W3cFianvw2eb/MYsQs0P3662Swf1d+E0+a88SZDv+9qfffC+fbXy49CnuT7ig3NuNQnpZaF7V7u5u4d920tDQes9b39i0m/bNKv/qTL5eORfKr8xzflTb7aG2YujC9u3PezY4227nbLeh3rn3XXjdTHBrtKWktD8ujHDrU69emE/+B675r6HwzA7x/oo4qE6mjHhQtv3iI7WNvuzYQpbWPXBm8vs5ccfjQWrE76n2h9zXMxcWprtmjWPjQ+UhtqDrolKjB4I61Njci24iLo3arKDXTLrrrhduurHa8zfPHzner9alPZ2pN/wY/h+V/vXWP3u6VNN4wfp+44YHXs3L33uKVO79nHoqvHJ9Recay8+ssS6nNzf5i9dYceFcwTVsz9ToDG0Hzuv/vJz+9+//yqYabGwxhxqwxofqe8gBwnMo4LxnUKhvex9PFcOHeB2dR/eo5f9HVnspQUm8ifl/Wq8rjmLE88eYfsc3kFOJap0T372wQrTYo/TD8vaea8EVAdjZ8yydBacR08ASpyfEgOvxMfrC3LVgid9GkBCZT2XxTgxXBAEbrFPnfpZ/cd1kYVCiX4La672n/+EczvtXTD1hdT3dIZcfh6cM9O6NGtkfQ/Yw9SflDf179TPk159D/VBpE9UP323xjQG0j1UPRTcb1xzk0QvZWqukb0bW8JO5S1Z4lqsq3mGZG6yUx949qTLTIueatTa1PoMO8922XMvO37g2XJ2ffWFM2+yaL3qHanngTxEd+xvVreu6dkle71X169fJ22cUjzaBPNj9iYgnU6gOpQn5UXzpP4Z2evs4XGLceRH9aR8Kp43X3g2Ll9y9+r7VatMC++8uSyvaj/+XRA3Zk3IhMpQWmPWhKRixq0abx/OOzZ25jfDMU6yOpLjN25s8Ylb7Kz+h54fZT2GVT5QEIAABCBQsQhkVKzskttUIrBF9nGniXlSx/vh+bfbxGGDTYPQe26+0e0OlGA60a/M7Tp2tusXPxU3uNZxVVs2bCRnp/RtqYtO7e2E8jOvnGAn7dPSxR+EE0djQ8HvfkccZX6A+/6y193qdHXctENMx70pTy6i7B91TiVQvfGhp90xe34HnCYBNNGkwYfCKbyCaNdXxxNPjn1j8MBOXU2TXePPONk0SJ7+yHO296FHxCZOFKYgSquXm+7WynlVfnUMuVbPy0I7tDXpUHPTTWO7HmT/6IJ5phX3Z3c9IraD/uKZd5gYbJe9I1ID/88+fN91vDVwXxpOxOsbcIkT7XXq1TeVTRM/Ojpd8RdHvb9sqT15/4Zj+R+5a26eE9iFTUvf3tMxjIkC44/fXh4Xlb6L3bnp1m7CRYMcTVb0HTnGmuzcwvkrLJ8zL5noJild4CQ/WiRyWjhZobYpZwm5Tzn3fFN+ZZZSHQwJ62zx3Flux9AFfXvaca2amQa7clc9jJ56U4509K3vJ++/2w3axt08x3bYpYXddMlY67VXi3BC7WHTpOqIydcXKpziU7jLbl/gJvwaZp9c8M1nK+2H1auVHSeUmDd1smlRgLOI/OzUqo1ddMtcu2r+wvC+qxFz0eRWdOJCbfqqoQNNdaEJnTVff2lDQuF3p5NOyfNeSbZzQoNWBOcx1Cmp0YSBJg5U74kZ1BGbHy5f5qwPPbZn3L3hLHP5WfvD96FQYbnb0dW4WdZkeqLXFUtfd8LIndu0Nb07Et3zM+8fvoO0mEq7u+ZNmWSa5EgMozI9EE4Q6z6W22FhGeqEk9jSF1dJiO8XzyRbaOPjf+nRh8yfQuHtSuqqPPhdzaonfe5CZU6MX0JZf+JFotvu++xv2+7YzFnr2SFBujMk/ETLsXf7I2y75jsn+CiYUfmTYCNZfem5/+DtM11E+mRLk+Ybjth0lkl+9D72EyiafH/1iceS+DJTuaZdfL57v6oNtOvYxfkLgsAO736CW8CmPof6PloI5xwjPzotYeGsmyM2G7Q1a9d2R7JLQPZY+K5PFl6+JeTSVYKlOuF7XPpEpXp89cmcZRC3RWH6ul+DILAOPXs82p3GAAAQAElEQVTHFqQVl0FiHopq1skldcL7S30W9XeScfjknbfdIgGlIYF73YZbWY2ateywUPglO7UBfXpH5ZU5qtRmJNjSpKoWWCQedx31W9L6b7M/SaG+oz+xoKTTIL7UI6B3016HHJ5rxtb987ddd94w67Nfa9cv1DtpxNXXu3efD6S2/NbLL5jGKXoO6/4fe9McO/joY+31Z55w3tS/vf2aK02nFl14Si/nV4LCPsNG2QlnD7M69es7fxLESOCpfusLDy92JwOdcXg7k90rTzzq+pRnXDjB+p17gWls4U8oUWAdbz6697GuL6s+rfq22rktobz656Oum2Hq51WtVs3dkwqj8k0adqbJ/1Vhv/CWyy+WtdVt0NAmzJxn6t9p13mr/Q5wC5LkqHR1VZkKO6bZocVu4UT6dgpuhe3bDrl8cmzXp4sg/NG4UWXSgoXQGPvXc2qHXXeL9Wk15nrmwftjHLUA4dxrp8U4xAIWUCMBwJK5t7nFET5Ih+NPtPqNtvHGUrtqDKP+mk9AO8f1bpJZbXHN11+Z3sEaj0y/+PzYQkDL/msX9q0m3b3YEseXWiyhBeLZ3tzlh29Xx411dXT6qe33dSeM6JS0LRo2dIJ4jT98f8kFDH+0i7N5q5yLkVq03deifpWGxsI6RUsLFU8bc1EYOutfp0P0O6itO+49y8ZM47Jd9tjLLVj2dg/Nm20P3TnH/Bhc8wZ9R4wxLfDQ+8r70+I+tQW9q7WQQmlqUbEWlkhwpvvE+y3uVXXx4fJlNrxHJzfuleBNcVYGwbnKKbVpnTq22RZbShsKRZeZxg7OEPlRe9X8VMQqX+3Gm2xiOu3tl59+dIsy9CxNFkgCXgl65bbNjk11KTHl+0OqZ/U91QdNFrn6lnPCZ7/6S/+pXj32CQEtujw0u1+k534yoabifm7xwthJeOoLS5CcLJ2ystsmezyh5//7y7IWO0bTVp71HfPceMh9STjn4gXWPU4f7E7NC4LAneay6557u+junnadLc/+DJgsJPBusG2WEFb3r+ykNt+yfmwh1BvPPmnqg8o+qjS+UXzeToJ4PQd0T+ozD3rXyk397gM6HS1tnNq6yQ62f4ejnN3D8+eGbTl+fksOqt+7p0+J1ZXsylJpvLjxJlkbS8przJpbeWtvUdcOOKqrc9b45/1wXtIZIj/i98idt7t3qvr/bbMXt5X1GDaSJbQQgAAEIFBBCGRUkHySzRQkIIGtJm+KmjUNgq+59yE7b8pNpknjxHiat4kfDGsyVEJ5CfQ0kNHAcPKCxabJFu1EaLHXPi6Ku6dPtZ577mLHt2luZ3Y+1L769BPTX/1ttrUZjz7vvh214M0PTQNn7SSX2y6h4EWTI9JHlSawLp19lx3Tf4BJGKzJ1iAI3KSRvv/TqfcpduW8+3NMtETjyEuvQY060UGQdaSc99ut3xk2dvqspFy+/fILmz7+ArfzOMpAYTWJs232gEM7lnu13dW6t9zRHcXlB3a7hgOGO15523G4/aXl1j0cUPiOsOIoqtIkwj03Xe86pD6OvULhSM1Na3tjqV1za4ea6IpOVhSVT7sjO9v+ocqtAFqhriOtmu7W0q5f8qS179bDtJtfk/rRMFoIcuO480wrkDX5qUUlamOXz73H1UPL/dqFwoyTokFierV5Hak28MiDbFEo/BDv3kNHmr71p5MPOvQsfDitulUCBxx1tJss1QTAwA4H2En7trTuu+/gvnEldyktQtB3ePXdtcn3LLG2Bx9qGZmZcoqpjMxMq1qtWswc1aiONNF7WDiID4Ig6hSn12RudOeEBOcjJ99gt7+83DTppnsmLgCGYhHwpw/8sHqVvf3qS04oGI1woxo1bMuGW5v+3lv6qq36fKW0SZXavL6xeOO40eYnrySounvaFJOdAmnhRsdefaSNKe0eHdWrm3VsUt8pDXq945effGy6t7RwRJMX3t5f//7rL3v3tZfd5PVue+/nrQt11TPztPMvNj0vNNGizyKsWPpabJeTyjJ9/PmmtqmIVYau/U6XtkSUdof4yWQJ6G++7KIYP028rP7yc5sx4UK7/KzT3E4nn6jfAeDNZlYs7YGdu7kFOYpEZVWZVXaZfT1eFQo+NCklu0SlCeQzL7nKCZBXhe1k5PFdTLvDVEfy6+II389aWKdnX8PG29spoXAmOkmXV1tQHFGld7rYqL602E2sNDGiCapx/U80va/1XtenSQry3AiCwE44a5hpIl75E+87plwdqwvFrfrREawqn9rLgLGXxAkymuzSwvSstPDvkXDyS+1ek7ZipvDaeX/Z4P4ub6GXHP9qB4cem7WzUDscLxt8qumodZVNnsXwwTkz7fbJV8ronsONd2ru9Ik/jZs1t6kXjDTdfwond9Wn8qR3iMxHhIKYvdofLq1TQVB8BprA0qcRFKF2mHqBi8xe6V1zcrs27n7vtut29sm7b3snd60fCodOOHOo03sO2mXkOaoeLjvzVLcrVO/QnmeeY5nZx1Efeszxdkj4DlZgtWMx8HUgjmor2lGme11+JFjcqWUbactE+U9SNG+9h2kiskwSJZGUIKD7TWOf3DLz5ScfmZ7r+x7e0a5f/KQd1OWYcDL4aNOfPiV0XOudTM8fPffqNmjoxh/qi33x8Qe28v335M2p15950iaPPNuWPveUSVCnRZ3HDxrq3uX7HHak86Mf9SvvuekG070kQejXK7PGSw22aWyXz73XtIM8IzPT9CxR/1lhvHr7lZdcX/bGsE8roYzsNSa5YclTJsFpEARWfeONrVnL1nJySvmWf51OJgv5vyRhd7LsvVKaej/LXJQxTXH6tnUbbqVkndKzfujlk00LChL72nqO6B2ko/S12OeUUAir96Tfhd//vLGuDlxERfjRJ6reeO7pWEi90/bPPu0lZlmKGvXX1OdREu+98aqdsOfO4RihlR290zam4+sleFablbtX6rfrSOvcxvfeX/Sq45GrVK0StYrp9V686s6FThCv8Wp0XKm8DZ84xQaNv9wdy+wD6R2uvob6MWpvk0acZX6Rh+K7OhzH7L5Pu6TjbMWh97jaf+IuT91b119wruk9In8Ssnc5+VT77IMN95/sZ026zDo13cr8ghQ/Burcp5/rr8pPSSj1r9RXOefYjrEdqbqvNHdRUXecawODHw/kdVUfQn0JcaxZezN3DL/0mvfR5y0S+wxjTurhThrQPSR/BVE1atay7qcNduMDpXVh3xPi+rXq1+n0rYnDBrn+iOaVNCb3cRekT9sw+6SMv/7v/0yCWfVTfHhd1R9SX1PPoVWRvrXilruuOo1E/Rr1e+Wvz7DRpr6Y3KX2ObRDTPird0O0X6j+od4vcyZfIa/On/w7Qzn+aPGK+nfKwsyrJtiT9y8wtXeZ1ZfVvT332ommPrvsEtVHb71p+s657DU/E10oqXrtM3y0SYCqZ4U2JkRPuvRHqeu9qh3XiiMIAtNCY7Uf1dWV5wx0zwH1S8VQTHUvKj75l9LzUc8BbSLQ+092+4fP79zeC+rHnnDmMGsYjo9UlxovRMdRmm+6MRxja3yhuMpDlfeYdcGM693YQc+Gq0dknSQQ5XBU775uMfe6f/4O5z975mg3M8ZfGPusxVEnnmy+/18SY9hoPspYT3IQgAAEIFAGBBCgFxPyV199ZfXq1ctV/fnnn8VMIXWDa6L4zAlXmSZnCppLdTo1IL35iRft6lD4rYmVIAiSBm978GGmQWAyxy4n97frFj7mBtNy1+S4OpyKX+bff1lrUtJLtW53kF1994OWuApeblJa5Xr8wPhOmAa5M5951Q3IdGzW04vuk1dTR3n9+nU26rrpNvCiy9wEkXMo4o8mr488oY8LnTVpdY+dOuai2I6wmpttZs2yd6k7T9k/7bsd544MjJZJnb/eQ891Az15++WnH91OYuml1PEfP3OeecGp7EpKffr+u7bs+Wdj0WmwIiFTECSv35jHEtDsdcjhsTL76LJY3muqxyDIykNR+Xz79Zemo9oVdxAESSc/tMtEgmXtKpM/DYK6nzE4bkJH9l5pgNslbMdqY7vvs7+zVpjTQ0Gejmh3Frn8iO30R5+zXmcNd+2kqOF89C323tcOP66XM2rg9+Oab2OCOt1bIyZNtYLsmNCqbbVnF1HkR/m9/sEnnLAnYp1U+/P33zt7TcCNzBaca3dVYZ4zLgJ+CkSgeZs93b2j59pVoXD0qB0amCaZdJqAItDJHk13byWtafGOdgRp0Hr/rdOdXfRn17b7WM9BQ2zJHbNMO5Lkr0fLpqaJRLUrLboaPfXmQu3EevuVF0152zWMW+0rmp70P333rX3y3jumye7iHKl+SNfuds5V17n3mSZGRxzXxR2DqDKoLBJaKr0u4T07dsbsQpVB4fJSuscGXXS5G/DLX5SfJl76H7y3WzRTfeMaJgG1JpXk7+uVn5reRdKXhNKE0rBwIlqTy4pPZVbZxaBHy6x6rFOvvnvuyD2ZUt60qEeTXpro0XGoXXfe1k12uDgmXuoWJkhANHH+QtOiiw3xFE5XNxQgSTAk4agWy4mVTo+RMEgLxpQHfaKlWXb7LUjstcJJ2AumzXQLCdRmtVDOM1DcWsSkSTD/folOlCr+IAhM7z29D2R+JBSiS8ig+0rhJww4xfSM637aILfQQH6iSs85Tay1OeAQZ62doIM6Huwm4n09TLt4jGOo++nMCRNdm3WeE34OOKqLtQ/7Cbr/xF7hVRa1L3nt1u8MG3DhJTnCF5eBuOuZrzQkcDm+zU6u/vWpE9kVVHU4vrfbASj/4nDqIfuY56h6UPtSWqOn3hS7d+RX99OZ46+M7USP1oHaiNqKFmRKECMhj963QRAoaKkr3a9vvvCcS6flvge4Kz+Vh8BnH7xvn7z7jiuw+oBOk/Cj3c/n33irbVG/getrqn1qLKTnkSbU5b1dx6yTu/x99lEoKIjufpUfKT2nJi14MHwO9HBxBUFguu81OS/3RKU8aYwmIbhflCw/ejccP3CI6yvInKh0z2n3+NQHnsgxzmp7yGEmIUViGJUh2e7kqL+i9tl9HMXp2zZt0TL2jFb/eK9DD7fMzCp2yrnnu/eDT0NX9Rm0MFaLm7Xgr274bpp870Nx4w/5K4rSgjBf7wq/xwEHm3YpSl8WSnWvvnjLfdu55NQOdXqJBIfOIvKjfrtOEpj9/FK38CMICv5crbd1I2seOdLdR6s+lxaq636QnQSl/p2uMf/JI8a4/liTnVuYFjmoDcuflPL4wOxbTYL0p0Lhm+zU/ifOX+Tur4bbbWftOh4t6zglofgJZ57j3rMqa5xjtkHvavU/dH/+z/5neX2eQffvlHDOou3Bh2aHLrmL3ika6ytGpeMF5632P9AyMuMXOctPuqogCKzHGWeabxvJ+gzqv6qPu/EmhTuafN8jOsb6Iur/Rfu16teN6tXNJLTXfa/xgT/VraCs9QklPevkf87kK11/r9/Be5mExLKTUh78GEV9H2e7HQAAEABJREFUH+Xh2BZNXN9K10nDz3SLr9QuB4y7zH02QuG80jN6+MSp1rrdQW58H+0Xqn8os+5t3edDLrvazS34sOV11eKpk84ZZbqnJbC+esRZ1jV7POH6snNn2VmXTbK9Dj0iRxZ/Xfuzqa+scHr/nDrm4hyfx9plj7Zu84ICf/HxhyZhvO4nmXfYZTe3uEbvbP/pEdnrOaMTJ5QnjYnVn1S/1DPU3Kg26MhvMqXnxYhJ17tnVjJ32WlcNCbs16o9+br25T55/9amPq3GCKXxPFH6+Sm1pUEpMGbNLZ+6ly6cMcuNC1T/OdpNOEehsIcde7ydPHy06xvJLLXLHntZWY1hlR7KE+AKAQhAIH8C69ats81C2Vhu8tctttjCVq1alX9ExfCRUYywBA0JNGrUyNasWZOrql69eugrPf+DIHCTMnNffdtOHT3Otm++i6nj7kurVbiy0y7t0aHQRLud7172gVvBv9V2TeI6LD5M9KrBsgYi2jEte3WIOoaC5psef9EGjL00h+Bag6arw4ki73+TTWu7Abx2uU+47U7LS2gcBIGpUyvB/iWz5tuC5R/ZwHAAsvEmNd1x8BIk+AkMfc9IwkAd4x4EBZ8cUBmSKTEbPP4Ku3vZh6b0JUwNgg3xasJGg0INjOVXHWZNbg2beF3c0XQ+bg2y9A1BDTyCILA6ocDDc9PEXPWNN/ZeS/T62lOPx3afa1JjYNi5rhUKI0o0kVwia7nfATYsFH6pUy+lXfVTH3zcohOAPui+4UC4sHyeXniv/fTdGhfF8YOG2sIVX9i8V98xTZ44y/BHE0cZmfGTFRpoqa1ox4+4a8DVuFlzd7/Me/09147VxsLgsX/lXwKUW5562e3+qRPWnxxV923CibPL595jUUG93KSKGk5hFfeAUJCiCVDVXVw+w3Ie0i1r8lV+81OaaOwz7Dw34BWTAeMuNe0c2Sq85/MLK/fa4YtPk3XacY7gXERKV7UIBdN6Pm+9/Q6xhPTtyeiOopOGnusmptQ2vKdvPv/MJNj2Zl0DC0yfxlAb1fNHdmpLOlpdR/6PDicEatauLesCKe2q0E5wHR27c5s9k4b5/MMPQoHkd7ZjONlde4u6Sf0UxDIIst5n85eucO+oZi1bmyYvpMRGzxTdk8nePQWJPz8/mjC5+p7FbpJOeu9f96bycu41N7pnjp7lTXbZ1TnrcyUSHjtDCf3ovavJZT3bts0+zURRq+5Vt1MffCJkvbusclV6h815YZkpz5qME0Mp7RhX/qcseswkIMrrnZxr5AkOYnPtfQ/Znge1d88cOauvoLzemP2JFtkVRilfekeo73DoMceZ8q38S+kZPOb6W2zaw8/kfL9kJ6I60zNc4fW+lllOumrCZsbjz9sBnbKOGJR9oqpRs5ZdfMvtpntG6end4f1ILzvdY/ndT5lVqtqgiy6zc6+d5voBikN5UJ6Ut1MjC/XkFlXFYaCFLmdOuNK021bp+Xi/zt7d6s35XTMyM93k5k1hn0/c1KfzYXSPaAFZdAGad9NVnDTZrLBHn3yq6R5W/UmpzagvNOfFZa6PGASBgpSJ0oT4x+/k/UmKMskIiZQ5AU3MR4/iliBHfcm5L79lPQefE8uPnl9BsKFN6pl86ZwFprGNBN/n33BrjpO7/pOkX6/Fo+oHeyG7T0D3zsT5C2P3p97R0X6pdlnr/vH+/VWfqbpu0aOmCWbd11K6l0Zcfb3Nf32FaVGQ+qHev7/u1LKNe6fKTWH0/NEYpqC7k/ctQp/dsv+UXlH7tjrZQ31QvQd7DhoaG9/q+ay68wvNspOKXcR92iPPuqOCY5ZF1Pzx26/2xnNPxYU+sHM3ywwF+XGWpWzQ+0BjY/9O8s9itRON87v1O8P0vtXpZkU9KUrtQ4I7CfiCIHD8NHY4IxybKB1fxCAIrOOJfU2Lp04YPNT5825qK/KvNu3t/FWLSfTejL73xFELIg7qcowFQeAELhLWq7+XkZnpPgm0Xfan0Xw8urp5gCVPmk4bC4IgV3/Kh+JKtrBE8ZSUarT9jlZZBedRhpp3unTO3Tn60XrmaSyqNrx53S2jQQqkD4LAtChS/Qn1Yetkj8sVWHWs5+fAcM5oxmMvxLVHuRdE6SQwLdzcqVWbmPf//vab/fT9dzFzEGSNUTTnpgUeas8xx1Ajc8/wfpj1/BvWqXdf155D67j/mrVr2/hb73B9S/8clweVQXNoereIke532aeC6tirj2nDjd4bep4rT7rKfGPYD1ffMAg2vC/lrh389918Y+z4c+0y3iUUlsstqoIgsC4n93f3vewfmX+7vfL4o9Jaw+22s9b7H+TmtRbOnOEW0ziH8Ed5uuKO+yxaX+pjatw0cf4i06aYrqecHntn6PmlfKr9aGygZ10YTZ7/esboPaK6Vvv1npWONjWMu3l2KODf3FuX+VV5SoUxa24F1yKW6xY+6ubpdH+qjcuv2o7GUHq3DL3y2hxzyfJTlmNYpYdKAwIUAQIQKBMCVapUsZ9//jlX2esPP/zgNjaXZmYQoJcm3UoSt4SkGljouEF/xLOOedakkOwGXXy5aaeBBhxBEN/JzQ/RVqHQ7apwokfxzXvtXbf7TgON3MJp96/3f3corNfuomahICQI8k83CAJTehq8a4JEafy2dq1dftbppu+dyawO8KS7HnD+ZC4pFQSBO8ozIzNeAOvjV0daAzPx1QSGBvRBkLxMQRCYOn/qeC/5ZLXd/tLyfLn5dIpz1cSwwquTql0AGozJXBYqCAKTkHfhe5+blAYciYJpn48gKBwfrf59etG9Lnideg3cMeJVq1UzCes2qbWps8/rR7sqLpx+m933zkpb/PEqN8mk+0X3TV7h1PnXRKbqT+1fda+FIKrbjMzk7UTxFTWcBnSaANXnDaL5zI2j0kqmqoRCGw3iFcedr79nXfr0L9RKdg0uNWmpeJLFj10WAU0UaZeP2sbwSVOyLJP85ucvCALTLtqbHn/BfdZB8elTFwrno9PgX0dtq23IXerMUEAWBDmfQUGw4f6SP7WDSXc/4E4fyMhM3m71bVhNWsq/lD/FwNs/+OHXbtLe5yd61aS+wpx/wy2WmceksspTEF5q79qBJwHj7FAILCU2eqbo3oqm7fU6Zvb+dz9z/LTYydsnXvPLg9Lufvpgm/XcGy4ulUv3vfJyUJdjYveRhPhy0zs2mie1A9mrnEorMX1vzs+fngWaGNY7RPFJqe61q0KT1qof2anMKruPN3pVHMrzZbcvMDGUmvn0q+5dpDBBkLPtKLyvc8UvpbRkH1U+/2oz8q/39sXhpKDamsKor6C85sZAdSR/eeU/CAJ39LAEJcq38i+lZ7COX1T5onlK1AdBVni9r1WHSk9XCXU10Rn1XyUcDETN0mdkZrp7Runp3aHwUtLLLr/3gOKQysjMtINCgUv0PaI8JesXyX9UBUFWGYrCQBOwEoaozMq3lCYUffyqG7VT2edVD/KvPp+4qU8n/1K6R3oPHZl0EaHCeKWwZ4y9xHQPq/6kdD/pNB7db95f9BrNm9pa1M3r1e7U/pQXlUNhvFv0mtjW1IdQ3iVoqt9o26hX9GlO4LP3V9grT2ZNzuv+07NNi03UdvSplLyKv0X9BqaxzS1PvuTe10EQ//zUaRTakRYEgemqE4ok0MmtjUfvTz03JfwsSL9Ui0In3rXIdF9L6V7S6S3qI+SW/yAITAIM9c0VRs+fvMYwifEEwYY+RVHGNHpWF6VvWyXsy5596STTe1DCgmi+VB8Sxup9rfg17tEirvy4R+MoiP6nNWts1ecbPpujhdQ7hWPagoQtaT8ZmZmxd5J/Fut9dP3iJ02fwHFCitBPcdJVu5QAT/V87f2P2K5t904qCNT4cv4bK5xQMwg23AtBEFink04xCbf8wpE6obBzwLhL3aI3vTeDYIN/5VXjfS32U5qq68SF1zp5QfMCQRC4hVjDJ021yQsWm+YbFN4r+dvjwPbOqEUwWsQ358U3nTBXbcQ5lMKP3kU6mahVBd9x7t+VeqcWVCV79+qZp/tS71kfj/R+LKrnrcLJTWlGq2R4OJaSvdzlL+omvfoTYu37U/Lrn59aOJPsOaj68X0F+ddzX3Elqp3btHWL4+VHSu1bi1MS/WnuQOW79elXYuME+Ze5z7DzLFm+o3FkZGbdx/45rrAqwzX3PezeLRmZOcdpuXFRX179N8WRyDIvt2h+8vMXBFn9UL039P5QWrrK7O9BpS17X28ZmZnWd+T5MT6aSwmC+Pve50H3qu57hRcHjYflpvHkUb1PMe1ef/GRJfbqE4/J2qkgCNyzSZsZFE5KfUyNm3Svqx2cfsF4956Um56T6sOq/bgIwh99XqD3Pru7EwQuP+u0OAF96Oz+k7VlpaP5Lr2fnKfwJzMcQ+gdFGrdv+ehuhFfZ5nwo3aovEnJf4KzM6otian8qA04y8hPsvypbtQv0PhPLOS9sGNW5Vl5V7rJ8iY7uUkly5fSlFL6qhP1b1S38q/8aQyV27tF4aQUVmUo7BjW5035VzkUV6IqCfaJcWKGQHEIEBYC6UQgM+wDlGZ5EKCXJl3irtAE1Lk9t+fR7ltXKkjbQw6zweOvTLpaUe6VXWngph1hmrjY94iOaYPj9WeeMLUFFWifwzuYBOLSS+l7lbpKaUJNVxQEIAABCEAgLwL6TIaOFpQf7SrVFVUsAgSGQEoTeOK+u8zf84cc3T12hKtOcvn6049d3jURvsmmmzp9YX502s+E2+aZhIC6esFCYeLAb+EISHjQb9SFbtGuJue1iKukuf/zz9+27p91sYztvm8727TOFjEzmpwEgiBLuCUBvAQmEnZ64WlO3/nbRIX6El5JICPhSmJI+Rs/8w4ntMtvEV9iWMwQgEDqEdCudS1W0NH2144eZh++9WaJZFKbc6aMGWE62VCLknudPcKiAvGCJKIT2r5b9ZXzWrdBQ0t2Co1z5AcCEIBAehOgdBAoUwII0MsUN4lVFAL6nt3oE481fRNJeVYHVzswkw2a5Y4y0+SBdoTlt6qzIrH6+6+/7NUnsnYMKd9tDz4sthvi7z//tLdfeVHWpmPR9L0sZ+AHAhCAAAQqJYGbLx1n2lWib67mdbz+B8uXOj4b1djE6jbcyun5qcwEKHs6E/j1559s+YvPuyLqnt9lz72cXj+//PiD+efBVo23t0ZNdpQ1CgK29XZNYp8KCYLA9DmoIEi+kxJcEIAABCBQcgSCILBjTxto+hSVPuN43onH2CvhnJAWvRU1FY0LLuh7vJs/0q7xsy6ZGDtCXnF+9cnHduoh+9iZndrHTr+UfaJSv+HrlZ86a51EppMOnIEfCEAAAhCoQATIakUjgAC9otUY+S11Au8ve91GhcJzHd3tE9NRTPoOnjdzrRwEfvruW/vkvXdcYf+z0Uamo76cIfz56J237K2XswTo+k5Ww+22C235hwAEIACBykpgq+2buF0lzy5eaO+98WpSDDrR5F3eLn0AABAASURBVPF75ju3ndvs6YQkzsAPBCoqAfKdJ4GvPv3Yvsk+ils7zKN9yWUvPGtfffqJC9+uYxfTgl1n4KfSE9CibX0Ko1PvU0xtY6dWbSo9EwBAAAIQKCsC+sTD+Tfe6j6NohNkxp9xsl3Qt6d99sEKK4wgXZsuHltwpw0+6hD7OJw/0pzS2JvmuGPzo2XZtE4dq1K1qq18/z177O559uvan6POTq90H1sw337+/ju3qWP/Izs7e34gAAEIQAACZUqgEiaGAL0SVjpFzp2Ajmca27+3aaWp99WhZ287oNPR3si1EhHQMbvaOZRY5D9++9XmTZlk6/7520129jzzHMvMrJLoDTMEIAABCFQiAlpMVadeA1fiqReMtCfvX2A6alEWOtHkxUeXmE63+em7NabdJ8f0H2ASksgdBQEIlA+B0k71u2++tvXrNhzF7dOT/bypk51Ri3SP6t3X6fmBgCeg070GXXy5nTdlhrHL0FPhCgEIQKBsCEiIfuG0maZPduio9TdfeNYJwvvs18pmXjnB3n71JVv74w/27/r1sQytW/eP/bhmtb365GN2xdlnWPfdd7RrzzvH/vv7b9Z0t5Z2/YNPWNuDD4359xotoNNiKZk/enu5XTtqqH3z2acubgnOtYNdY4v5N1wjL7ZnGEeLtvs4PT8QgAAEIAABCBScQFF8ZhQlEGEgkI4ENJE1cdjgOOG5jm3qf95YU4c5HctMmfIm8Psvv8QmPbXyWLuINCi69YrxtvylrOM4+44YE3f8Vt4x4goBCEAAAulKoH6jbeysSyeadpfonXH1iLPs2BZNrGOT+tZ1523t0kH9TafbqE9xzlXXWcv9DkhXFJQLAhDIJvDDt6uzdeZOqFj95eemhZiaUF/1+Uo3xjj9wglxpxzFAuSvwQcEIAABCEAAAqVEQAtdu58+2GY9/4bpRBAtgNUmi3tuusHO63WM9Wq7q3VqupXr66u/36VZIztp31Z28el97Lkli0xzRw22aWyjp9xkk+9ZYltt1yTXnHbtd7rtf2Qn564j4087dD8X91E7NLBTDtzTHpk/17lpjlInlChvzoIfCEAAAhCAAARKlUAKCdBLtZxEDoE8CehopRsvGm2ayPIeGzbe3oZecY1p5am341q5CGjnR3Rg8tC8OTbxnEGxwYtWIx9x/ImVCwqlhUCEwOZb1rPZzy+1hz791oZPmhJxQQuByklAu0pufeoV6zl4qGnCLEpBZtlrEq59tx7u+MWoe3H1O+y6m93/7mfufuxxxpnFjY7wEIBACRBo2HjDJ360E/3+W2e4xTRaiKmJ+FHXTbdWlXYxTQkAJgoIQAACEIBAKRPQmFcngix8/wu7buGj1uus4dasZWvbdPM6OVKWnYTcp44eZ7c9+7rd8tTL1u6oLpaRmZnDb9RC847nXTfDLrplrrU54GCrvvHGMWfpZSe3S2bNN81TxRzRQAACEIAABCBQqgQQoJcUXuKp0ARefuIRe+2px2NlqL/NtjZuxmzbcqutY3ZoKh8BDZRqbrpZrODvvfGqPf/Qg84s4bmO3w2CwJn5gQAEIAABCIiA3h19hp1ntz79ihNma4GJlMyyl7v8oSAAgfQnULfBVnGfanjpsYfcKUY6iWJUOFG+7xEd0x9CupaQckEAAhCAQKUioHf3ji12t95DR9o19z5kd77+XlxfX/192V12+wI75tSBVm/rRoVaMJuRmemOeJ9w25123zsrY3FLLzst1M3IzFsQX6kqhMJCAAIQgAAEyoAAAvQygFwRkqjMeVy/fp298PDiGAJ1iK+6c6E12mHHmB2ayklgs7p1bdc994orvL5Pdensu+zY0wblu4o4LiAGCEAAAhCAAAQgAIFKRWCr7ba37XbaOa7MjZrsYNctetTadexcqIn1uEgwQKCYBAgOAQhAAAIQgAAEIAABCEAAAnkTQICeNx9cKwaBYudSxyzpqO5+5421ifMX2Rb1GxQ7TiKo+AQyM6u4lcMSmtepV9+063zmM69aq/0PZMKz4lcvJYAABCAAAQhAAAKlSkBHsur7qVWrVbOtt9/Bhk+aalMfeCKHUL1UM0HkEEg/ApQIAhCAAAQgAAEIQAACEIBAqRNAgF7qiEkg1QlISHrmhCtt4XufW/fTBsUds1g2eSeVVCagEwnmv7HCbn9puWkCdONNaqZydskbBCAAAQhAAAIQgEAKEdjviKNs0ftf2k2Pv2Dtu/VgrJFCdUNWIFA+BEgVAhCAAAQgAAEIQAACEKgIBBCgV4RaIo8QSGUC5A0CEIAABCAAAQhAAAIQgAAEIACB9CdACSEAAQhAAAIQgAAEIFBJCCBAryQVTTEhAIHkBLCFAAQgAAEIQAACEIAABCAAAQhAIP0JUEIIQAACEIAABCAAAQgUlAAC9IKSwh8EIACB1CNAjiAAAQhAAAIQgAAEIAABCEAAAhBIfwKUEAIQgAAEIAABCECgDAkgQC9D2CQFAQhAAAJRAughAAEIQAACEIAABCAAAQhAAAIQSH8ClBACEIAABCAAAQhULAII0CtWfZFbCEAAAhBIFQLkAwIQgAAEIAABCEAAAhCAAAQgAIH0J0AJIQABCEAAAhCodAQQoFe6KqfAEIAABCAAATMYQAACEIAABCAAAQhAAAIQgAAEIJD+BCghBCAAAQhAAAKFJ4AAvfDMKk2IrWtuZCgY0AZoA7QB2kAKtgHeT7yjaQO0AdoAbYA2QBugDdAGaAO0AdoAbYA2kP5tgDqmjmkDtIEyaQMNNqleaWR/FLRgBBCgF4xTpfO1xUbVrEXdWigY0AZoA7QB2gBtoMTbAO9X+hi0AdoAbYA2QBugDdAGaAO0AdoAbYA2QBtI/zZAHVPHtIGK1AYqnSCQAudJAAF6nnhwhAAEIAABCEAAAhCII4ABAhCAAAQgAAEIQAACEIAABCAAgfQnQAkhAAEIVGICCNArceVTdAhAAAIQgAAEIFDZCFBeCEAAAhCAAAQgAAEIQAACEIAABNKfACWEAAQgUBwCCNCLQ4+wEIAABCAAAQhAAAIQKDsCpAQBCEAAAhCAAAQgAAEIQAACEIBA+hOghBCAQDkTQIBezhVA8hCAAAQgAAEIQAACEKgcBCglBCAAAQhAAAIQgAAEIAABCEAAAulPgBJCoOITQIBe8euQEkAAAhCAAAQgAAEIQAACpU2A+CEAAQhAAAIQgAAEIAABCEAAAhBIfwKUEAIhAQToIQT+IQABCEAAAhCAAAQgAAEIpDMBygYBCEAAAhCAAAQgAAEIQAACEIBA+hOghCVDAAF6yXAkFghAAAIQgAAEIAABCEAAAhAoHQLECgEIQAACEIAABCAAAQhAAAIQgED6E0iZEiJAT5mqICMQgAAEIAABCEAAAhCAAAQgkH4EKBEEIAABCEAAAhCAAAQgAAEIQAACFYlA0QToFamE5BUCEIAABCAAAQhAAAIQgAAEIACBohEgFAQgAAEIQAACEIAABCAAAQhAoJIRqJQC9EpWxxQXAhCAAAQgAAEIQAACEIAABCBQKQlQaAhAAAIQgAAEIAABCEAAAhCAQGEJIEAvLLHy908OIAABCEAAAhCAAAQgAAEIQAACEEh/ApQQAhCAAAQgAAEIQAACEIAABMqBAAL0coBeuZOk9BCAAAQgAAEIQAACEIAABCAAAQikPwFKCAEIQAACEIAABCAAAQhAoGISQIBeMeuNXJcXAdKFAAQgAAEIQAACEIAABCAAAQhAIP0JUEIIQAACEIAABCAAAQhAoNISQIBejKr/3//+Z2vXrrWqVatatWrVcijZ//HHHyZ/xUiGoBAoMQJEBAEIQAACEIAABCAAAQhAAAIQgED6E6CEEIAABCAAAQhAAAIQqKgE1q9fb1WqVMkhd/WyWC9/Lc3yIUAvBt0gCCwjI8P++ecf+/vvv3Mo2cs9CALjDwIQKDYBIoAABCAAAQhAAAIQgAAEIAABCEAg/QlQQghAAAIQgAAEIACBSkwgMzPT1q1bl0Pu6mWxkr9Wr169VAkhQC8m3lq1auUZw0YbbZSnO44QgEBlIUA5IQABCEAAAhCAAAQgAAEIQAACEEh/ApQQAhCAAAQgAAEIQKC0CUjIXpppIEAvTbrEDQEIQCBdCFAOCEAAAhCAAAQgAAEIQAACEIAABNKfACWEAAQgAAEIQAACEDAE6DQCCEAAAhBIewIUEAIQgAAEIAABCEAAAhCAAAQgAIH0J0AJIQABCEAAAhCAQEkQQIBeEhSJAwIQgAAEIFB6BIgZAhCAAAQgAAEIQAACEIAABCAAgfQnQAkhAAEIQAACEEgRAgjQU6QiyAYEIAABCEAgPQlQKghAAAIQgAAEIAABCEAAAhCAAATSnwAlhAAEIAABCKQPAQTo6VOXlAQCEIAABCAAgZImQHwQgAAEIAABCEAAAhCAAAQgAAEIpD8BSggBCEAAAhCIEECAHoGBFgIQgAAEIAABCKQTAcoCAQhAAAIQgAAEIAABCEAAAhCAQPoToIQQgAAEIFCyBBCglyxPYoMABCAAAQhAAAIQKBkCxAIBCEAAAhCAAAQgAAEIQAACEIBA+hOghBCAAARSjgAC9JSrEjIEAQhAAAIQgAAEIFDxCVACCEAAAhCAAAQgAAEIQAACEIAABNKfACWEAATSkQAC9HSsVcoEAQhAAAIQgAAEIACB4hAgLAQgAAEIQAACEIAABCAAAQhAAALpT4ASQgACSQkgQE+KBUsIQAACEIAABCAAAQhAoKISIN8QgAAEIAABCEAAAhCAAAQgAAEIpD8BSgiB0iKAAL20yBIvBCAAAQhAAAIQgAAEIACBwhMgBAQgAAEIQAACEIAABCAAAQhAAALpT4ASpjABBOgpXDlkDQIQgAAEIAABCEAAAhCAQMUiQG4hAAEIQAACEIAABCAAAQhAAAIQSH8C6V1CBOjpXb+UDgIQgAAEIAABCEAAAhCAAAQKSgB/EIAABCAAAQhAAAIQgAAEIAABCKQ/gXxKiAA9H0A4QwACEIAABCAAAQhAAAIQgAAEKgIB8ggBCEAAAhCAAAQgAAEIQAACEIBA8QmkugC9+CUkBghAAAIQgAAEIAABCEAAAhCAAARSnQD5gwAEIAABCEAAAhCAAAQgAAEIpAQBBOilWg1EDgEIQAACEIAABCAAAQhAAAIQgED6E6CEEIAABCAAAQhAAAIQgAAEIJAuBBCgp0tNlkY5iBMCEIAABCAAAQhAAAIQgAAEIACB9CdACSEAAQhAAAIQgAAEIAABCEAgRgABegwFmnQjQHkgAAEIQAACEIAABCAAAQhAAAIQSH8ClBACEIAABCAAAQhAAAIQgEBJEkCAXpI0iQsCJUeAmCAAAQhAAAIQgAAEIAABCEAAAhBIfwKUEAIQgAAEIAABCEAAAhBIMQII0FOsQsgOBNKDAKWAAAQgAAEIQAACEIAABCAAAQhAIP0JUEIIQAACEIAABCAAAQikHwEE6OlXp5QIAhCoMP3VAAAQAElEQVQoLgHCQwACEIAABCAAAQhAAAIQgAAEIJD+BCghBCAAAQhAAAIQgAAEkhBAgJ4EClYQgAAEKjIB8g4BCEAAAhCAAAQgAAEIQAACEIBA+hOghBCAAAQgAAEIQAACpUMAAXrpcCVWCEAAAhAoGgFCQQACEIAABCAAAQhAAAIQgAAEIJD+BCghBCAAAQhAAAIQSFkCCNBTtmrIGAQgAAEIVDwC5BgCEIAABCAAAQhAAAIQgAAEIACB9CdACSEAAQhAAAIQSGcCCNDTuXYpGwQgAAEIQKAwBPALAQhAAAIQgAAEIAABCEAAAhCAQPoToIQQgAAEIAABCORJAAF6nnhwhAAEIAABCECgohAgnxCAAAQgAAEIQAACEIAABCAAAQikPwFKCAEIQAACEChtAgjQS5sw8UMAAhCAAAQgAIH8CeADAhCAAAQgAAEIQAACEIAABCAAgfQnQAkhAAEIQKACEECAXgEqiSxCAAIQgAAEIACB1CZA7iAAAQhAAAIQgAAEIAABCEAAAhBIfwKUEAIQgEDlIIAAvXLUM6WEAAQgAAEIQAACEMiNAPYQgAAEIAABCEAAAhCAAAQgAAEIpD8BSggBCECggAQQoBcQFN4gAAEIQAACEIAABCCQigTIEwQgAAEIQAACEIAABCAAAQhAAALpT4ASQgACZUcAAXrZsSYlCEAAAhCAAAQgAAEIQCCeACYIQAACEIAABCAAAQhAAAIQgAAE0p8AJYRAhSKAAL2Y1bV+/fo8Y8jPPc/AOEIAAhCAAAQgAAEIQAACKUyArEEAAhCAAAQgAAEIQAACEIAABCCQ/gQoYWUjgAC9mDX+ww8/WO3atW3zzTdPqv7++2/LT4i+atWqYuaC4BCAAAQgAAEIQAACEIAABApJAO8QgAAEIAABCEAAAhCAAAQgAAEIpD+BFCthfnLRtWvX2kYbbZRU7urlsWvWrLHS/EOAXky69erVM1XkTz/9ZMmUKjgzMzPPVJYtW2ZLly7N0w+OEIAABCAAAQhAAAIQgAAEILCBADoIQAACEIAABCAAAQhAAAIQgAAEKhaBxYsX2+rVq/PMtDYu/9///V9M7ppM/ir5bJ6RFNMRAXoxAZZUcAnQpUoqPuKBAAQgAAEIQAACEIAABCAAgZQlQMYgAAEIQAACEIAABCAAAQhAAAKVioCE5/ntPk8VICUoQE+VIlXcfEiALlVxS0DOIQABCEAAAhCAAAQgAAEIQCD9CVBCCEAAAhCAAAQgAAEIQAACEIBAwQlUJOG5SoUAXRSkUkRJgC6VItkhGxCAAAQgAAEIQAACEIAABCAAgfQiQGkgAAEIQAACEIAABCAAAQhAoMwIVDThucAgQBeFFFMSoEsVJlv4hQAEIAABCEAAAhCAAAQgAAEIQCD9CVBCCEAAAhCAAAQgAAEIQAACFYVARRSeiy0CdFFIQSUButRvv/2Wgrkr8SwRIQQgAAEIQAACEIAABCAAAQhAAALpT4ASQgACEIAABCAAAQhAAAKVhEBFFZ6rehCgi0KKKgnQP/roI0OInqIVFMsWGghAAAIQgAAEIAABCEAAAhCAAATSnwAlhAAEIAABCEAAAhCAAAQKQqAiC89VPgToopDCCiF6CldOumSNckAAAhCAAAQgAAEIQAACEIAABCCQ/gQoIQQgAAEIQAACEIAABMqAQEUXngsRAnRRSHGFED3FK4jslSsBEocABCAAAQhAAAIQgAAEIAABCEAg/QlQQghAAAIQgAAEIACB1CeQDsJzUUaALgoVQCFErwCVRBYhUHgChIAABCAAAQhAAAIQgAAEIAABCEAg/QlQQghAAAIQgAAEIJD2BNJFeK6KQoAuChVESYgu9dtvv1WQHJNNCEAgvQlQOghAAAIQgAAEIAABCEAAAhCAAATSnwAlhAAEIAABCEAAAnkTSCfhuUqKAF0UKpD66KOP7NlnnzWE6BWo0sgqBCCQmgTIFQQgAAEIQAACEIAABCAAAQhAAALpT4ASQgACEIAABCBQqgTSTXguWAjQRaGCqVWrViFEr2B1RnYhAAEIlDQB4oMABCAAAQhAAAIQgAAEIAABCEAg/QlQQghAAAIQgEAqE0hH4bl4I0AXhQqoEKJXwEojyxCAAAQg4AlwhQAEIAABCEAAAhCAAAQgAAEIQCD9CVBCCEAAAhBIYwLpKjxXlSFAF4UKqhCiV9CKI9sQgAAEIFDBCZB9CEAAAhCAAAQgAAEIQAACEIAABNKfACWEAAQgAIHcCKSz8FxlRoAuCsVQf//9t9WvXz9X9e+//+Yb+yabbGINGzYsklLkH330kS4oCEAAAhCAAAQgkD8BfEAAAhCAAAQgAAEIQAACEIAABCCQ/gQoIQQgAIFSIrB06VIXc1FlmzVr1nTh8/rZbLPNrF69enHKy2Pr1q1rf/75Z17Bi+2GAL2YCJs1a2ZdunTJVXXu3Nny+zvooIOsU6dORVZt2rTJLwncIQABCEAAAhCAQFoQoBAQgAAEIAABCEAAAhCAAAQgAAEIpD8BSggBCKQuAckliyPXbNq0ab6F69Gjhx199NFxystju3XrZq1bt843juJ4QIBeHHqEhQAEIAABCEAAAhCAQMEJ4BMCEIAABCAAAQhAAAIQgAAEIACB9CdACSEAgVImUK1atVJNAQF6qeIlcghAAAIQgAAEIAABCKQLAcoBAQhAAAIQgAAEIAABCEAAAhCAQPoToIQQgAAC9GK2gdWrV9vixYsLpfy3AYqZNMEhAAEIQAACEIAABCAAgYISwB8EIAABCEAAAhCAAAQgAAEIQAAC6U+AElY4Ah999FGh5KySy/7222+lWk4E6MXEu8kmm5jO+i+oatCggZV2pRazSASHAAQgAAEIQAACEIAABFKMANmBAAQgAAEIQAACEIAABCAAAQhAIP0JVMYSSm5aWHlrzZo1SxUVAvRi4lUFSSheUCX/xUyS4BCAAAQgAAEIQAACEIAABCoSAfIKAQhAAAIQgAAEIAABCEAAAhCAQPoTKHIJJT8tqKxV/oqcUAEDIkAvICi8QQACEIAABCAAAQhAAAIQgEBlJECZIQABCEAAAhCAAAQgAAEIQAACEEh/AhtKiAB9A4si6datW1ekcCUd6N9//y3pKCt0fKlSL6kEESbxtZFK90wq5SWeUvmYaKs5ucMknkkq3TOplJd4SuVjoq3m5A6TeCapdM+kUl7iKZWPibaak3vaMMlZtGLZpMq9s379+mKVI10Dp0r9pEo+Uq2eU6Xdpko+Uq1+UuW5/7///S9l0KQKEwFJpbykSh2lEhPVUaqoVHnGpUo+UqVefD5SpY+QKvnwXFLlmirtlvpJ3iJ47ifnUlq2FVKAXlowihLvypUrbeHChfbggw8mVYsXL8432kWLFiUNm1ucifYLw/TvvffeYsWRGGdRzQsWLEiJfIiJVFHLUVLh7r77brvzzjvLnYlY3HfffeWeD3FNlXzcc889ed67ymtZKNUN92/881NMpMqCf15pcP/G14tYcf/GM1E75f7NyURc1F7KU3H/xteL6oL7N56J2in3b04m4qL2Up4qVe5fMRAPKenLW6XKOEv1U9Z5yY29nmvUT877OFWebaky3lL7UVvRtbyV2uv999+fMuPyVGkrqcJE9ZMqbUX3T6rUj+YsxYb7Z8PzVu/Cu+66KyXuZdWNVHnXj9JXu9W1vJXqJ1XyomdKqtRPqvTfxCNVnm9qJ8pPebdZpa+2omt5K/GQKu98KH21Eynpy1ulUv2kSl70TClu/bzwwgt5yk7/+9//5itbe/XVV/OMo7iOCNCLSbBq1ar23Xff2erVq5OqIAgSU8hh1mqa3MIXxF7pa+VJQfyWtp/q1asn5VDa6SbGn5GRkWe9JPovLfPatWvt999/L3cmaiNqq6VVzsLEmyr50D0jLoXJe2n4VR6Ul9KIu7Bxcv/GP8e5f+N5qD2lyv37zz//pMQznvs3Zxvh/RvPRG0kVe6bVMkH9298G9GzlfdvPJNUef+qbqpUqZIS7xvl5T//+U+5jymUD9XP//3f/6VEXoIgSJn6yeM+LlNWeu+kythC8xzKj9pNeatUeQeKh3atljcPpf/nn3/ajz/+WKbtU+kmU3rWJrMvazvVT6q0ld9++y2l6kdsyro+EtNTHqpVq5YSbVbvwj/++CMl8pIq4y/VVyr1Vf7666+UqB8JAdR2xae8VSr1VbTDubx5KH3lI1XqJ1XeP+KRKn0VPWfpq8SPlVU/qfQuLG79qCx6TuamNt54Y1OfSPdrbkrvntzCl4Q9AvSSoFip4qCwEIAABCAAAQhAAAIQgAAEIFBZCQRB/ovEKyub9Cs3JYIABCAAAQhUPAJBQF+l4tUaOYYABCCQegQQoKdenZCj0iRA3BCAAAQgAAEIQAACEIAABCAAAQikPwFKCAEIQAACEIAABCAAAQhAoIgEEKAXERzBIFAeBEgTAhCAAAQgAAEIQAACEIAABCAAgfQnQAkhAAEIQAACJUUgCNiVX1IsiQcCEKg8BBCgV566pqQQKG8CpA8BCEAAAhCAAAQgAAEIQAACEIBA+hOghBCAAAQgAAEIQAACEKjQBBCgV+jqI/MQgEDZESAlCEAAAhCAAAQgAAEIQAACEIAABNKfACWEAAQgAAEIQAACEKjsBBCgp0ALWL9+fQrkgixAAAJpTYDCQQACEIAABCAAAQhAAAIQgAAEIJD+BCghBCAAAQhAAAIQgECxCSBALybCf/75xxo1amTbbLNN7Cq9V0EQ/32RBg0aWJs2bcz/rVu3znbaaSc7/PDDnTriiCPc1ZsLcm3Xrp395z//cekrL1GlfMjsr9JLyRxVsiuuUtnEIxpveen/97//JeXhy5hbvpK5e7uiXMWkbt26OfJSmPTltyhpR8MoH8mY5Ba37KMqGldx9MrHX3/9lYNHYpzRtKN678/beXNRrtWqVbMtt9wyaV58/IlXn05u9t69MFcx4f7dxj1DPddkbTXK1PtLvHo/UXtvV5Sr6ob7t1HsHhEP3b9RvuWl1z3D/RtfN3r/FqSd51ZnPqzcvb4oV+7fDfUifrpvkjHJjbPso0pxlIRSPrh/c9aNniXJ+KoOZO+v0kvJHFWyK65S3XD/5qybZO9fzzpaB14vN6/XNWqWvqjq33//jeujKO6iqqLmQeHUTv7++++Uycumm24a6x8of1JRLlGz9FL5uctPYZXG1NF4i6MvbNpR/6qfxPtYeZGf6FV6KW/v9VFz1E72hVXKi55tiscrxeH1hb0qbFFVZmamG28VNs1k/ouaB4UTE70Dpc9N+TS9uzdHr3KTWdeiKuUlIyMj6b2sOBV/YZTCFFVVr17d1Y/CK01dvZJZKi+z3OTHK5mLqlQ/Pp7iXouaB4VT/aTKc1/vwbzGO8pvlFVBzPJTFOWfb9H0iqovaPrJ/Kl+fF6i7spLMrPsvZK71+sqc3GU8lKnTp2k97LiL6wqTl401vDpKR7p81sFrwAAEABJREFU/VX6wiiFK6oSE/VVfHilK330Kr2Ut/f6qDlqJ/uiKOWlRo0aKVE/QRDk6DOpTCqnV1Gz9FLeTVdv1rWoSkz+/PPPlGCivFStWjUl8qJ86FnrOXu+MkvlZZab/Hglc1GVmKTSuzAIkrdbX77EMntz9Cq/MutaVFWzZk3XV/Hx6FocVdR8KJyeb8VJOxpW8RVVqa2or6Lw0TiLqlc8RVW6dyS7LIo8U+GkatWqpSFdTDVt2tSkYhahRukk5tGXt2HDhvb777+HvkrvHwF6MdmqQo888kjr0KGD+av0XnXs2DEuBd34Ut6ySpUqtuuuu1rjxo2d2nbbbd21cba5INfmzZtb165dXfrKQ1QpHzL7q/RSMkeV7IqrOnfubJ06dXIsonGXh/7YY49NysOXMbc8JXP3dkW5ikmyuilM+vJblLSjYZSPLl265GCSW9yyj6poXMXRKx9S+cURTTuq9+G8nTcX5ap6kUoW1sefePV+c7P37oW5ikde+VBcSk9Xr2SOKm9fnKvywf17ZNw9IibJ6ibKPqr3/KN20h955JFx8Xp/Bb0qH6l0/6pM5a1UL1LJGOaWN+830d3bF+WquskrH4pT6enqlcxR5e2Lc1U+dP8WJI5o2lG9Dys7ry/KlfdvzucI92+HuL6h7hmpZO1L7S+Z8n4T3bx9Ua66b/LKh+JUerp6JXNUefviXJUP7t+c901udSPW0Trw+kT7qFn6oqpjjjkmrv369IpyLWoeFE7t5Oijj06pvChfURVlIntvll7Km3WNmqUvqurevXvKMEm8j6PlVPlk9ipqll7Ku+kqc1GV2oruH8XjleLy+sJeFbaoqlu3bm6eorBpJvNf1DwonJhISZ+b8ml6d2+OXuUms65FVcpHYv0oTinFqWthlMIUVen5prwovNLU1SuZpfIyy01+vJK5qCqV7uVUedbqmeLrJ5GrmMtOV68KYpafoijVj8L5tIpzVTxFVf7+SQyv/ETtvFlXr+Tu9brKXBzl86K4kqhCv5uKkxeNv3weFI/0/ip9YZTCFVWJSXTco3QVV/QqvZS39/qoOWon+6Io5UXvIMVVEqooefBh/P3jzf4azZfsvFl6KW/W1Zt1LaoSE9WP4isJVdR8KJzykir1o+eslJgob17JLJWXWW7y45XMRVViIuXjKu61qPlQOOVDTKTPTfn8eXdvjl7lJrOuRVVqJ8qLj0fX4qii5kPhdC8XJ+1oWMVXVKX60b2s8NE4i6pXPEVV6jNJdlkUeabCSWljsZeT6iq5qZT0XqkNJObRl1f9pbZt23qvpXJFgF4qWMs+Uq1iLvtUc6aoXb05bbFJBQJarJEK+dCOiFTIR6rwEAvuX1FA5UWgfNvrhpxx/25g4XXcv54E19wIcP/Gk0kVHsoV968ooCoKAe2QSZW8BkGQKllJmXyk0jg4VZ5tqfS8T5U+rBqsdubrWt4qVfJR3hwS00+VdhsEPGcT60bmVKkf5SV9VdFLRl+l6OzKIiR9lZyUU+mZQl8lZ/2kSp82Z87K1yaV2m35kshKvbSfbQjQszjzCwEIQAACEIBAOhKgTBCAAAQgAAEIQAACEIAABCAAAQikPwFKCAEIQAACEChBAgjQSxAmUUEAAhCAAAQgAIGSJEBcEIAABCAAAQhAAAIQgAAEIAABCKQ/AUoIAQhAAAKpRQABemrVB7mBAAQgAAEIQAAC6UKAckAAAhCAAAQgAAEIQAACEIAABCCQ/gQoIQQgAIG0I4AAPe2qlAJBAAIQgAAEIAABCBSfADFAAAIQgAAEIAABCEAAAhCAAAQgkP4EKCEEIACBnAQQoOdkgg0EIAABCEAAAhCAAAQqNgFyDwEIQAACEIAABCAAAQhAAAIQgED6E6CEEIBAqRBAgF4qWIkUAhCAAAQgAAEIQAACECgqAcJBAAIQgAAEIAABCEAAAhCAAAQgkP4EKCEEUpUAAvRUrRnyBQEIQAACEIAABCAAAQhURALkGQIQgAAEIAABCEAAAhCAAAQgAIH0J0AJ05gAAvQ0rlyKBgEIQAACEIAABCAAAQhAoHAE8A0BCEAAAhCAAAQgAAEIQAACEIBA+hOghHkRQICeFx3cIAABCEAAAhCAAAQgAAEIQKDiECCnEIAABCAAAQhAAAIQgAAEIAABCKQ/gVIuIQL0UgZM9BCAAAQgAAEIQAACEIAABCAAgYIQwA8EIAABCEAAAhCAAAQgAAEIQAAC5U+gtAXo5V9CcgABCEAAAhCAAAQgAAEIQAACEIBAaRMgfghAAAIQgAAEIAABCEAAAhCAQFoQQICeZzXiCAEIQAACEIAABCAAAQhAAAIQgED6E6CEEIAABCAAAQhAAAIQgAAEIACBLAII0LM4pOcvpYIABCAAAQhAAAIQgAAEIAABCEAg/QlQQghAAAIQgAAEIAABCEAAAhAoMQII0EsMJRGVNAHigwAEIAABCEAAAhCAAAQgAAEIQCD9CVBCCEAAAhCAAAQgAAEIQAACqUQAAXoq1QZ5SScClAUCEIAABCAAAQhAAAIQgAAEIACB9CdACSEAAQhAAAIQgAAEIACBNCOAAD3NKpTiQKBkCBALBCAAAQhAAAIQgAAEIAABCEAAAulPgBJCAAIQgAAEIAABCEAAAokEEKAnEsEMAQhUfAKUAAIQgAAEIAABCEAAAhCAAAQgAIH0J0AJIQABCEAAAhCAAAQgUAoEEKCXAlSihAAEIFAcAoSFAAQgAAEIQAACEIAABCAAAQhAIP0JUEIIQAACEIAABCAAgdQkgAA9NeuFXEEAAhCoqATINwQgAAEIQAACEIAABCAAAQhAAALpT4ASQgACEIAABCAAgbQlgAA9bauWgkEAAhCAQOEJEAICEIAABCAAAQhAAAIQgAAEIACB9CdACSEAAQhAAAIQgEDuBBCg584GFwhAAAIQgEDFIkBuIQABCEAAAhCAAAQgAAEIQAACEEh/ApQQAhCAAAQgAIFSJYAAvVTxEjkEIAABCEAAAgUlgD8IQAACEIAABCAAAQhAAAIQgAAE0p8AJYQABCAAAQikOgEE6KleQ+QPAhCAAAQgAIGKQIA8QgACEIAABCAAAQhAAAIQgAAEIJD+BCghBCAAAQhUAgII0CtBJVNECEAAAhCAAAQgkDcBXCEAAQhAAAIQgAAEIAABCEAAAhBIfwKUEAIQgAAECkIAAXpBKOEHAhCAAAQgAAEIQCB1CZAzCEAAAhCAAAQgAAEIQAACEIAABNKfACWEAAQgUEYEEKCXEWiSgQAEIAABCEAAAhCAQDIC2EEAAhCAAAQgAAEIQAACEIAABCCQ/gQoIQQgUHEIIECvOHVFTiEAAQhAAAIQgAAEIJBqBMgPBCAAAQhAAAIQgAAEIAABCEAAAulPgBJCoFIRQIBeqaqbwkIAAhCAAAQgAAEIQAACGwiggwAEIAABCEAAAhCAAAQgAAEIQCD9CVBCCBSOAAL0wvHCNwQgAAEIQAACEIAABCAAgdQgQC4gAAEIQAACEIAABCAAAQhAAAIQSH8ClLDMCSBAL3PkJAgBCEAAAhCAAAQgAAEIQAACEIAABCAAAQhAAAIQgAAEIAABCEAg/QlUxBIiQK+ItUaeIQABCEAAAhCAAAQgAAEIQKA8CZA2BCAAAQhAAAIQgAAEIAABCEAAAmlKICJAT9MSUiwIQAACEIAABCAAAQhAAAIQgAAEIgTQQgACEIAABCAAAQhAAAIQgAAEIJAbgfQRoOdWQuwhAAEIQAACEIAABCAAAQhAAAIQSB8ClAQCEIAABCAAAQhAAAIQgAAEIFCKBBCglyLcwkSNXwhAAAIQgAAEIAABCEAAAhCAAATSnwAlhAAEIAABCEAAAhCAAAQgAIHUJoAAPbXrp6LkjnxCAAIQgAAEIAABCEAAAhCAAAQgkP4EKCEEIAABCEAAAhCAAAQgAIG0J4AAPe2rmALmTwAfEIAABCAAAQhAAAIQgAAEIAABCKQ/AUoIAQhAAAIQgAAEIAABCEAgfwII0PNnhA8IpDYBcgcBCEAAAhCAAAQgAAEIQAACEIBA+hOghBCAAAQgAAEIQAACEIBAmRBAgF4mmEkEAhDIjQD2EIAABCAAAQhAAAIQgAAEIAABCKQ/AUoIAQhAAAIQgAAEIACBikIAAXpFqSnyCQEIpCIB8gQBCEAAAhCAAAQgAAEIQAACEIBA+hOghBCAAAQgAAEIQAAClYgAAvRKVNkUFQIQgEA8AUwQgAAEIAABCEAAAhCAAAQgAAEIpD8BSggBCEAAAhCAAAQgUBgCCNALQwu/EIAABCCQOgTICQQgAAEIQAACEIAABCAAAQhAAALpT4ASQgACEIAABCAAgTImgAC9jIGTHAQgAAEIQEAEUBCAAAQgAAEIQAACEIAABCAAAQikPwFKCAEIQAACEIBAxSOAAL3i1Rk5hgAEIAABCJQ3AdKHAAQgAAEIQAACEIAABCAAAQhAIP0JUEIIQAACEIBApSSAAL1SVjuFhgAEIAABCFRmApQdAhCAAAQgAAEIQAACEIAABCAAgfQnQAkhAAEIQAACRSOAAL1o3AgFAQhAAAIQgAAEyocAqUIAAhCAAAQgAAEIQAACEIAABCCQ/gQoIQQgAAEIlBsBBOjlhp6EIQABCEAAAhCAQOUjQIkhAAEIQAACEIAABCAAAQhAAAIQSH8ClBACEIBARSaAAL0i1x55hwAEIAABCEAAAhAoSwKkBQEIQAACEIAABCAAAQhAAAIQgED6E6CEEIBAJSeAAL2SNwCKDwEIQAACEIAABCBQWQhQTghAAAIQgAAEIAABCEAAAhCAAATSnwAlhAAEiksAAXpxCRIeAhCAAAQgAAEIQAACECh9AqQAAQhAAAIQgAAEIAABCEAAAhCAQPoToIQQSAECCNBToBLIAgQgAAEIQAACEIAABCCQ3gQoHQQgAAEIQAACEIAABCAAAQhAAALpT4ASpgcBBOjpUY+UAgIQgAAEIAABCEAAAhCAQGkRIF4IQAACEIAABCAAAQhAAAIQgAAE0p8AJcwmgAA9GwQXCEAAAhCAAAQgAAEIQAACEEhHApQJAhCAAAQgAAEIQAACEIAABCAAgfQnUHIlRIBeciyJCQIQgAAEIAABCEAAAhCAAAQgULIEiA0CEIAABCAAAQhAAAIQgAAEIACBMiVQLgL0Mi0hiUEAAhCAAAQgAAEIQAACEIAABCBQLgRIFAIQgAAEIAABCEAAAhCAAAQgUNEIIEAvfI0RAgIQgAAEIAABCEAAAhCAAAQgAIH0J0AJIQABCEAAAhCAAAQgAAEIQKASEkCAXukqnQJDAAIQgAAEIAABCEAAAhCAAAQgkP4EKCEEIAABCEAAAhCAAAQgAAEIFIUAAvSiUCNM+REgZQhAAAIQgAAEIAABCEAAAhCAAATSnwAlhAAEIAABCEAAAhCAAAQgUE4EEKCXE3iSrZwEKDUEIAABCEAAAhCAAAQgAAEIQAAC6RiSrs4AAAxKSURBVE+AEkIAAhCAAAQgAAEIQAACFZcAAvSKW3fkHAJlTYD0IAABCEAAAhCAAAQgAAEIQAACEEh/ApQQAhCAAAQgAAEIQAAClZoAAvRKXf0UHgKViQBlhQAEIAABCEAAAhCAAAQgAAEIQCD9CVBCCEAAAhCAAAQgAAEIFI8AAvTi8SM0BCAAgbIhQCoQgAAEIAABCEAAAhCAAAQgAAEIpD8BSggBCEAAAhCAAAQgUO4EEKCXexWQAQhAAALpT4ASQgACEIAABCAAAQhAAAIQgAAEIJD+BCghBCAAAQhAAAIQSAcCCNDToRYpAwQgAAEIlCYB4oYABCAAAQhAAAIQgAAEIAABCEAg/QlQQghAAAIQgAAEIOAIIEB3GPiBAAQgAAEIpCsBygUBCEAAAhCAAAQgAAEIQAACEIBA+hOghBCAAAQgAAEIlBQBBOglRZJ4IAABCEAAAhAoeQLECAEIQAACEIAABCAAAQhAAAIQgED6E6CEEIAABCAAgRQigAA9hSqDrEAAAhCAAAQgkF4EKA0EIAABCEAAAhCAAAQgAAEIQAAC6U+AEkIAAhCAQHoRQICeXvVJaSAAAQhAAAIQgEBJESAeCEAAAhCAAAQgAAEIQAACEIAABNKfACWEAAQgAIEEAgjQE4BghAAEIAABCEAAAhBIBwKUAQIQgAAEIAABCEAAAhCAAAQgAIH0J0AJIQABCJQ8AQToJc+UGCEAAQhAAAIQgAAEIFA8AoSGAAQgAAEIQAACEIAABCAAAQhAIP0JUEIIQCAlCSBAT8lqIVMQgAAEIAABCEAAAhCouATIOQQgAAEIQAACEIAABCAAAQhAAALpT4ASQiBdCSBAT9eapVwQgAAEIAABCEAAAhCAQFEIEAYCEIAABCAAAQhAAAIQgAAEIACB9CdACSGQKwEE6LmiwQECEIAABCAAAQhAAAIQgEBFI0B+IQABCEAAAhCAAAQgAAEIQAACEEh/ApSwNAkgQC9NusQNAQhAAAIQgAAEIAABCEAAAgUngE8IQAACEIAABCAAAQhAAAIQgAAE0p9AipcQAXqKVxDZgwAEIAABCEAAAhCAAAQgAIGKQYBcQgACEIAABCAAAQhAAAIQgAAEIFDxCeQnQK/4JaQEEIAABCAAAQhAAAIQgAAEIAABCORHAHcIQAACEIAABCAAAQhAAAIQgAAEQgJpLkAPS8g/BCAAAQhAAAIQgAAEIAABCEAAAmlOgOJBAAIQgAAEIAABCEAAAhCAAARKhgAC9JLhWDqxECsEIAABCEAAAhCAAAQgAAEIQAAC6U+AEkIAAhCAAAQgAAEIQAACEIBAyhBAgJ4yVZF+GaFEEIAABCAAAQhAAAIQgAAEIAABCKQ/AUoIAQhAAAIQgAAEIAABCEAgnQggQE+n2qQsJUmAuCAAAQhAAAIQgAAEIAABCEAAAhBIfwKUEAIQgAAEIAABCEAAAhCAQBwBBOhxODBAIF0IUA4IQAACEIAABCAAAQhAAAIQgAAE0p8AJYQABCAAAQhAAAIQgAAESpoAAvSSJkp8EIBA8QkQAwQgAAEIQAACEIAABCAAAQhAAALpT4ASQgACEIAABCAAAQhAIAUJIEBPwUohSxCAQMUmQO4hAAEIQAACEIAABCAAAQhAAAIQSH8ClBACEIAABCAAAQhAID0JIEBPz3qlVBCAAASKSoBwEIAABCAAAQhAAAIQgAAEIAABCKQ/AUoIAQhAAAIQgAAEIJALAQTouYDBGgIQgAAEKiIB8gwBCEAAAhCAAAQgAAEIQAACEIBA+hP4f/bsJCeSKAYCKPc/NSqxQEJATvUHh9+iW92QmXY8L0NCAgQIECBAgMA4AQX6OFtfJkCAAAEC1wQ8TYAAAQIECBAgQIAAAQIECOQLSEiAAAECBAhsLaBA3/o8liNAgAABAnUEbEqAAAECBAgQIECAAAECBAjkC0hIgAABAgTSBRTo6ReWjwABAgQIEDgj4BkCBAgQIECAAAECBAgQIEAgX0BCAgQIECBwKKBAPyTyAAECBAgQIEBgdwH7ESBAgAABAgQIECBAgAABAvkCEhIgQIDADAEF+gxlMwgQIECAAAECBP4W8BsCBAgQIECAAAECBAgQIEAgX0BCAgQIFBFQoBc5lDUJECBAgAABAgT2FLAVAQIECBAgQIAAAQIECBAgkC8gIQECfQQU6H1uLSkBAgQIECBAgACBnwL+T4AAAQIECBAgQIAAAQIECOQLSEiAwAUBBfoFLI8SIECAAAECBAgQILCTgF0IECBAgAABAgQIECBAgACBfAEJCcwVUKDP9TaNAAECBAgQIECAAAECXwL+JkCAAAECBAgQIECAAAECBPIFJCwnoEAvdzILEyBAgAABAgQIECBAYL2ADQgQIECAAAECBAgQIECAAIF8gY4JFegdry4zAQIECBAgQIAAAQIEegtIT4AAAQIECBAgQIAAAQIECOQL3EqoQL/F5iUCBAgQIECAAAECBAgQILBKwFwCBAgQIECAAAECBAgQIEBglMA+BfqohL5LgAABAgQIECBAgAABAgQI7CNgEwIECBAgQIAAAQIECBAgsLGAAv1Nx/EZAgQIECBAgAABAgQIECBAIF9AQgIECBAgQIAAAQIECBDIFlCgZ9/3bDrPESBAgAABAgQIECBAgAABAvkCEhIgQIAAAQIECBAgQIDAgYAC/QDIrysI2JEAAQIECBAgQIAAAQIECBDIF5CQAAECBAgQIECAAAEC4wUU6OONTSDwv4DfEiBAgAABAgQIECBAgAABAvkCEhIgQIAAAQIECBAgUEJAgV7iTJYksK+AzQgQIECAAAECBAgQIECAAIF8AQkJECBAgAABAgQIdBFQoHe5tJwECPwm4GcECBAgQIAAAQIECBAgQIBAvoCEBAgQIECAAAECBE4LKNBPU3mQAAECuwnYhwABAgQIECBAgAABAgQIEMgXkJAAAQIECBAgQGCmgAJ9prZZBAgQIPAt4F8ECBAgQIAAAQIECBAgQIBAvoCEBAgQIECAAIFiAgr0YgezLgECBAjsIWALAgQIECBAgAABAgQIECBAIF9AQgIECBAgQKCfgAK9380lJkCAAAECBAgQIECAAAECBAgQIECAAIF8AQkJECBAgACBGwIK9BtoXiFAgAABAgRWCphNgAABAgQIECBAgAABAgQI5AtISIAAAQIE1ggo0Ne4m0qAAAECBAh0FZCbAAECBAgQIECAAAECBAgQyBeQkAABAgTKCijQy57O4gQIECBAgACB+QImEiBAgAABAgQIECBAgAABAvkCEhIgQKCzgAK98/VlJ0CAAAECBAj0EpCWAAECBAgQIECAAAECBAgQyBeQkAABAo8EFOiP+LxMgAABAgQIECBAYJaAOQQIECBAgAABAgQIECBAgEC+gIQECKwWUKCvvoD5BAgQIECAAAECBDoIyEiAAAECBAgQIECAAAECBAjkC0hIIEBAgR5wRBEIECBAgAABAgQIEBgr4OsECBAgQIAAAQIECBAgQIBAvoCEBF4CCvSXgj8ECBAgQIAAAQIECBDIFZCMAAECBAgQIECAAAECBAgQyBeQ8E0CCvQ3QfoMAQIECBAgQIAAAQIECIwQ8E0CBAgQIECAAAECBAgQIEAgX2CfhAr0fW5hEwIECBAgQIAAAQIECBBIE5CHAAECBAgQIECAAAECBAgQKCVwq0AvldCyBAgQIECAAAECBAgQIECAwC0BLxEgQIAAAQIECBAgQIAAgW4CHQv0bjeWlwABAgQIECBAgAABAgQIdBSQmQABAgQIECBAgAABAgQIXBZQoF8mW/2C+QQIECBAgAABAgQIECBAgEC+gIQECBAgQIAAAQIECBAgsEJAgb5CvfNM2QkQIECAAAECBAgQIECAAIF8AQkJECBAgAABAgQIECBQVECBXvRw1l4jYCoBAgQIECBAgAABAgQIECCQLyAhAQIECBAgQIAAAQJ9BRTofW8veT8BiQkQIECAAAECBAgQIECAAIF8AQkJECBAgAABAgQIEHggoEB/gOdVAgRmCphFgAABAgQIECBAgAABAgQI5AtISIAAAQIECBAgQGCtgAJ9rb/pBAh0EZCTAAECBAgQIECAAAECBAgQyBeQkAABAgQIECBAoLyAAr38CQUgQIDAeAETCBAgQIAAAQIECBAgQIAAgXwBCQkQIECAAAECBD4+PgEAAP//HvOv1QAAAAZJREFUAwBPUocdDem7jgAAAABJRU5ErkJggg==">
          <a:extLst>
            <a:ext uri="{FF2B5EF4-FFF2-40B4-BE49-F238E27FC236}">
              <a16:creationId xmlns:a16="http://schemas.microsoft.com/office/drawing/2014/main" id="{00000000-0008-0000-07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57875"/>
          <a:ext cx="304800" cy="304800"/>
        </a:xfrm>
        <a:prstGeom prst="rect">
          <a:avLst/>
        </a:prstGeom>
        <a:noFill/>
      </xdr:spPr>
    </xdr:sp>
    <xdr:clientData fLocksWithSheet="0"/>
  </xdr:oneCellAnchor>
  <xdr:twoCellAnchor>
    <xdr:from>
      <xdr:col>1</xdr:col>
      <xdr:colOff>76200</xdr:colOff>
      <xdr:row>15</xdr:row>
      <xdr:rowOff>140970</xdr:rowOff>
    </xdr:from>
    <xdr:to>
      <xdr:col>6</xdr:col>
      <xdr:colOff>137160</xdr:colOff>
      <xdr:row>29</xdr:row>
      <xdr:rowOff>179070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765D3B-5610-A8C0-A0D9-460C8132D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2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workbookViewId="0">
      <selection activeCell="L7" sqref="L7"/>
    </sheetView>
  </sheetViews>
  <sheetFormatPr defaultColWidth="14.42578125" defaultRowHeight="15" customHeight="1"/>
  <cols>
    <col min="1" max="1" width="7.42578125" customWidth="1"/>
    <col min="2" max="2" width="7.28515625" bestFit="1" customWidth="1"/>
    <col min="3" max="3" width="10.85546875" customWidth="1"/>
    <col min="4" max="5" width="9.85546875" customWidth="1"/>
    <col min="6" max="6" width="10.85546875" customWidth="1"/>
    <col min="7" max="9" width="9.85546875" customWidth="1"/>
    <col min="10" max="11" width="8.7109375" customWidth="1"/>
  </cols>
  <sheetData>
    <row r="1" spans="1:12" ht="12.6" customHeight="1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22"/>
      <c r="K1" s="22"/>
      <c r="L1" s="22"/>
    </row>
    <row r="2" spans="1:12">
      <c r="A2" s="32">
        <v>1</v>
      </c>
      <c r="B2" s="45" t="s">
        <v>9</v>
      </c>
      <c r="C2" s="38">
        <v>4500</v>
      </c>
      <c r="D2" s="38">
        <v>5040</v>
      </c>
      <c r="E2" s="38">
        <v>5696</v>
      </c>
      <c r="F2" s="39">
        <f t="shared" ref="F2:F7" si="0">SUM(C2:E2)</f>
        <v>15236</v>
      </c>
      <c r="G2" s="39">
        <f t="shared" ref="G2:G7" si="1">MAX(C2:E2)</f>
        <v>5696</v>
      </c>
      <c r="H2" s="39">
        <f t="shared" ref="H2:H7" si="2">MIN(C2:E2)</f>
        <v>4500</v>
      </c>
      <c r="I2" s="39">
        <f t="shared" ref="I2:I7" si="3">AVERAGE(C2:E2)</f>
        <v>5078.666666666667</v>
      </c>
      <c r="J2" s="22"/>
      <c r="K2" s="22"/>
      <c r="L2" s="22"/>
    </row>
    <row r="3" spans="1:12" ht="13.9" customHeight="1">
      <c r="A3" s="33">
        <v>2</v>
      </c>
      <c r="B3" s="46" t="s">
        <v>10</v>
      </c>
      <c r="C3" s="40">
        <v>6250</v>
      </c>
      <c r="D3" s="40">
        <v>7000</v>
      </c>
      <c r="E3" s="40">
        <v>7910</v>
      </c>
      <c r="F3" s="41">
        <f t="shared" si="0"/>
        <v>21160</v>
      </c>
      <c r="G3" s="41">
        <f t="shared" si="1"/>
        <v>7910</v>
      </c>
      <c r="H3" s="41">
        <f t="shared" si="2"/>
        <v>6250</v>
      </c>
      <c r="I3" s="41">
        <f t="shared" si="3"/>
        <v>7053.333333333333</v>
      </c>
      <c r="J3" s="22"/>
      <c r="K3" s="22"/>
      <c r="L3" s="22"/>
    </row>
    <row r="4" spans="1:12">
      <c r="A4" s="33">
        <v>3</v>
      </c>
      <c r="B4" s="46" t="s">
        <v>11</v>
      </c>
      <c r="C4" s="40">
        <v>3300</v>
      </c>
      <c r="D4" s="40">
        <v>3696</v>
      </c>
      <c r="E4" s="40">
        <v>4176</v>
      </c>
      <c r="F4" s="41">
        <f t="shared" si="0"/>
        <v>11172</v>
      </c>
      <c r="G4" s="41">
        <f t="shared" si="1"/>
        <v>4176</v>
      </c>
      <c r="H4" s="41">
        <f t="shared" si="2"/>
        <v>3300</v>
      </c>
      <c r="I4" s="41">
        <f t="shared" si="3"/>
        <v>3724</v>
      </c>
      <c r="J4" s="22"/>
      <c r="K4" s="22"/>
      <c r="L4" s="22"/>
    </row>
    <row r="5" spans="1:12">
      <c r="A5" s="33">
        <v>4</v>
      </c>
      <c r="B5" s="46" t="s">
        <v>12</v>
      </c>
      <c r="C5" s="40">
        <v>8000</v>
      </c>
      <c r="D5" s="40">
        <v>8690</v>
      </c>
      <c r="E5" s="40">
        <v>10125</v>
      </c>
      <c r="F5" s="41">
        <f t="shared" si="0"/>
        <v>26815</v>
      </c>
      <c r="G5" s="41">
        <f>MAX(C5:E5)</f>
        <v>10125</v>
      </c>
      <c r="H5" s="41">
        <f t="shared" si="2"/>
        <v>8000</v>
      </c>
      <c r="I5" s="41">
        <f t="shared" si="3"/>
        <v>8938.3333333333339</v>
      </c>
      <c r="J5" s="22"/>
      <c r="K5" s="22"/>
      <c r="L5" s="22"/>
    </row>
    <row r="6" spans="1:12">
      <c r="A6" s="33">
        <v>5</v>
      </c>
      <c r="B6" s="46" t="s">
        <v>13</v>
      </c>
      <c r="C6" s="40">
        <v>4557</v>
      </c>
      <c r="D6" s="40">
        <v>5104</v>
      </c>
      <c r="E6" s="40">
        <v>5676</v>
      </c>
      <c r="F6" s="41">
        <f t="shared" si="0"/>
        <v>15337</v>
      </c>
      <c r="G6" s="41">
        <f t="shared" si="1"/>
        <v>5676</v>
      </c>
      <c r="H6" s="41">
        <f t="shared" si="2"/>
        <v>4557</v>
      </c>
      <c r="I6" s="41">
        <f t="shared" si="3"/>
        <v>5112.333333333333</v>
      </c>
      <c r="J6" s="22"/>
      <c r="K6" s="22"/>
      <c r="L6" s="22"/>
    </row>
    <row r="7" spans="1:12" ht="15" customHeight="1">
      <c r="A7" s="34">
        <v>6</v>
      </c>
      <c r="B7" s="47" t="s">
        <v>14</v>
      </c>
      <c r="C7" s="42">
        <v>3260</v>
      </c>
      <c r="D7" s="42">
        <v>3640</v>
      </c>
      <c r="E7" s="42">
        <v>4113</v>
      </c>
      <c r="F7" s="43">
        <f>SUM(C7:E7)</f>
        <v>11013</v>
      </c>
      <c r="G7" s="43">
        <f t="shared" si="1"/>
        <v>4113</v>
      </c>
      <c r="H7" s="43">
        <f t="shared" si="2"/>
        <v>3260</v>
      </c>
      <c r="I7" s="43">
        <f t="shared" si="3"/>
        <v>3671</v>
      </c>
      <c r="J7" s="26"/>
      <c r="K7" s="22"/>
      <c r="L7" s="22"/>
    </row>
    <row r="8" spans="1:12" ht="12.6" customHeight="1">
      <c r="A8" s="138" t="s">
        <v>15</v>
      </c>
      <c r="B8" s="139"/>
      <c r="C8" s="31">
        <f>SUM(C2:C7)</f>
        <v>29867</v>
      </c>
      <c r="D8" s="31">
        <f>SUM(D2:D7)</f>
        <v>33170</v>
      </c>
      <c r="E8" s="31">
        <f>SUM(E2:E7)</f>
        <v>37696</v>
      </c>
      <c r="F8" s="31">
        <f>SUM(F2:F7)</f>
        <v>100733</v>
      </c>
      <c r="G8" s="31">
        <f>SUM(G2:G7)</f>
        <v>37696</v>
      </c>
      <c r="H8" s="31">
        <f>SUM(H2:H7)</f>
        <v>29867</v>
      </c>
      <c r="I8" s="31">
        <f>SUM(I2:I7)</f>
        <v>33577.666666666672</v>
      </c>
      <c r="J8" s="23"/>
      <c r="K8" s="22"/>
      <c r="L8" s="22"/>
    </row>
    <row r="9" spans="1:12" ht="14.4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ht="12.6" customHeight="1">
      <c r="A10" s="35" t="s">
        <v>0</v>
      </c>
      <c r="B10" s="36" t="s">
        <v>1</v>
      </c>
      <c r="C10" s="88" t="s">
        <v>16</v>
      </c>
      <c r="D10" s="88" t="s">
        <v>17</v>
      </c>
      <c r="E10" s="88" t="s">
        <v>18</v>
      </c>
      <c r="F10" s="88" t="s">
        <v>19</v>
      </c>
      <c r="G10" s="88" t="s">
        <v>6</v>
      </c>
      <c r="H10" s="88" t="s">
        <v>7</v>
      </c>
      <c r="I10" s="88" t="s">
        <v>8</v>
      </c>
      <c r="J10" s="22"/>
      <c r="K10" s="22"/>
      <c r="L10" s="22"/>
    </row>
    <row r="11" spans="1:12">
      <c r="A11" s="32">
        <v>1</v>
      </c>
      <c r="B11" s="45" t="s">
        <v>9</v>
      </c>
      <c r="C11" s="38">
        <v>6265</v>
      </c>
      <c r="D11" s="38">
        <v>6954</v>
      </c>
      <c r="E11" s="38">
        <v>7858</v>
      </c>
      <c r="F11" s="39">
        <f t="shared" ref="F11:F16" si="4">SUM(C11:E11)</f>
        <v>21077</v>
      </c>
      <c r="G11" s="39">
        <f t="shared" ref="G11:G16" si="5">MAX(C11:E11)</f>
        <v>7858</v>
      </c>
      <c r="H11" s="39">
        <f t="shared" ref="H11:H16" si="6">MIN(C11:E11)</f>
        <v>6265</v>
      </c>
      <c r="I11" s="39">
        <f t="shared" ref="I11:I16" si="7">AVERAGE(C11:E11)</f>
        <v>7025.666666666667</v>
      </c>
      <c r="J11" s="22"/>
      <c r="K11" s="22"/>
      <c r="L11" s="22"/>
    </row>
    <row r="12" spans="1:12" ht="14.45" customHeight="1">
      <c r="A12" s="33">
        <v>2</v>
      </c>
      <c r="B12" s="46" t="s">
        <v>10</v>
      </c>
      <c r="C12" s="40">
        <v>8701</v>
      </c>
      <c r="D12" s="40">
        <v>9658</v>
      </c>
      <c r="E12" s="40">
        <v>10197</v>
      </c>
      <c r="F12" s="41">
        <f t="shared" si="4"/>
        <v>28556</v>
      </c>
      <c r="G12" s="41">
        <f t="shared" si="5"/>
        <v>10197</v>
      </c>
      <c r="H12" s="41">
        <f t="shared" si="6"/>
        <v>8701</v>
      </c>
      <c r="I12" s="41">
        <f t="shared" si="7"/>
        <v>9518.6666666666661</v>
      </c>
      <c r="J12" s="22"/>
      <c r="K12" s="22"/>
      <c r="L12" s="25"/>
    </row>
    <row r="13" spans="1:12">
      <c r="A13" s="33">
        <v>3</v>
      </c>
      <c r="B13" s="46" t="s">
        <v>11</v>
      </c>
      <c r="C13" s="40">
        <v>4569</v>
      </c>
      <c r="D13" s="40">
        <v>5099</v>
      </c>
      <c r="E13" s="40">
        <v>5769</v>
      </c>
      <c r="F13" s="41">
        <f t="shared" si="4"/>
        <v>15437</v>
      </c>
      <c r="G13" s="41">
        <f t="shared" si="5"/>
        <v>5769</v>
      </c>
      <c r="H13" s="41">
        <f t="shared" si="6"/>
        <v>4569</v>
      </c>
      <c r="I13" s="41">
        <f t="shared" si="7"/>
        <v>5145.666666666667</v>
      </c>
      <c r="J13" s="22"/>
      <c r="K13" s="22"/>
      <c r="L13" s="22"/>
    </row>
    <row r="14" spans="1:12">
      <c r="A14" s="33">
        <v>4</v>
      </c>
      <c r="B14" s="46" t="s">
        <v>12</v>
      </c>
      <c r="C14" s="40">
        <v>12341</v>
      </c>
      <c r="D14" s="40">
        <v>12365</v>
      </c>
      <c r="E14" s="40">
        <v>13969</v>
      </c>
      <c r="F14" s="41">
        <f t="shared" si="4"/>
        <v>38675</v>
      </c>
      <c r="G14" s="41">
        <f t="shared" si="5"/>
        <v>13969</v>
      </c>
      <c r="H14" s="41">
        <f t="shared" si="6"/>
        <v>12341</v>
      </c>
      <c r="I14" s="41">
        <f t="shared" si="7"/>
        <v>12891.666666666666</v>
      </c>
      <c r="J14" s="22"/>
      <c r="K14" s="22"/>
      <c r="L14" s="22"/>
    </row>
    <row r="15" spans="1:12">
      <c r="A15" s="33">
        <v>5</v>
      </c>
      <c r="B15" s="46" t="s">
        <v>13</v>
      </c>
      <c r="C15" s="40">
        <v>6344</v>
      </c>
      <c r="D15" s="40">
        <v>7042</v>
      </c>
      <c r="E15" s="40">
        <v>7957</v>
      </c>
      <c r="F15" s="41">
        <f t="shared" si="4"/>
        <v>21343</v>
      </c>
      <c r="G15" s="41">
        <f t="shared" si="5"/>
        <v>7957</v>
      </c>
      <c r="H15" s="41">
        <f t="shared" si="6"/>
        <v>6344</v>
      </c>
      <c r="I15" s="41">
        <f t="shared" si="7"/>
        <v>7114.333333333333</v>
      </c>
      <c r="J15" s="22"/>
      <c r="K15" s="22"/>
      <c r="L15" s="22"/>
    </row>
    <row r="16" spans="1:12">
      <c r="A16" s="34">
        <v>6</v>
      </c>
      <c r="B16" s="47" t="s">
        <v>14</v>
      </c>
      <c r="C16" s="42">
        <v>4525</v>
      </c>
      <c r="D16" s="42">
        <v>5022</v>
      </c>
      <c r="E16" s="42">
        <v>5671</v>
      </c>
      <c r="F16" s="44">
        <f t="shared" si="4"/>
        <v>15218</v>
      </c>
      <c r="G16" s="44">
        <f t="shared" si="5"/>
        <v>5671</v>
      </c>
      <c r="H16" s="44">
        <f t="shared" si="6"/>
        <v>4525</v>
      </c>
      <c r="I16" s="44">
        <f t="shared" si="7"/>
        <v>5072.666666666667</v>
      </c>
      <c r="J16" s="22"/>
      <c r="K16" s="22"/>
      <c r="L16" s="22"/>
    </row>
    <row r="17" spans="1:12" ht="14.45">
      <c r="A17" s="138" t="s">
        <v>15</v>
      </c>
      <c r="B17" s="139"/>
      <c r="C17" s="31">
        <f>SUM(C11:C16)</f>
        <v>42745</v>
      </c>
      <c r="D17" s="31">
        <f>SUM(D11:D16)</f>
        <v>46140</v>
      </c>
      <c r="E17" s="31">
        <f>SUM(E11:E16)</f>
        <v>51421</v>
      </c>
      <c r="F17" s="31">
        <f>SUM(F11:F16)</f>
        <v>140306</v>
      </c>
      <c r="G17" s="31">
        <f>SUM(G11:G16)</f>
        <v>51421</v>
      </c>
      <c r="H17" s="31">
        <f>SUM(H11:H16)</f>
        <v>42745</v>
      </c>
      <c r="I17" s="31">
        <f>SUM(I11:I16)</f>
        <v>46768.666666666664</v>
      </c>
      <c r="J17" s="22"/>
      <c r="K17" s="22"/>
      <c r="L17" s="22"/>
    </row>
    <row r="18" spans="1:12" ht="14.4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4"/>
    </row>
    <row r="19" spans="1:12" ht="22.9" customHeight="1">
      <c r="A19" s="136" t="s">
        <v>20</v>
      </c>
      <c r="B19" s="137"/>
      <c r="C19" s="37">
        <f>F8+F17</f>
        <v>241039</v>
      </c>
      <c r="D19" s="22"/>
      <c r="E19" s="22"/>
      <c r="F19" s="22"/>
      <c r="G19" s="22"/>
      <c r="H19" s="22"/>
      <c r="I19" s="22"/>
      <c r="J19" s="22"/>
      <c r="K19" s="22"/>
      <c r="L19" s="22"/>
    </row>
    <row r="20" spans="1:12">
      <c r="A20" s="22"/>
      <c r="B20" s="22"/>
      <c r="C20" s="22"/>
      <c r="D20" s="30"/>
      <c r="E20" s="30"/>
      <c r="F20" s="30"/>
      <c r="G20" s="30"/>
      <c r="H20" s="30"/>
      <c r="I20" s="30"/>
      <c r="J20" s="22"/>
      <c r="K20" s="22"/>
      <c r="L20" s="22"/>
    </row>
    <row r="21" spans="1:12" ht="12.6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9:B19"/>
    <mergeCell ref="A8:B8"/>
    <mergeCell ref="A17:B17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topLeftCell="A6" workbookViewId="0">
      <selection sqref="A1:H1"/>
    </sheetView>
  </sheetViews>
  <sheetFormatPr defaultColWidth="14.42578125" defaultRowHeight="15" customHeight="1"/>
  <cols>
    <col min="1" max="2" width="8.7109375" customWidth="1"/>
    <col min="3" max="3" width="13.7109375" customWidth="1"/>
    <col min="4" max="4" width="12" customWidth="1"/>
    <col min="5" max="7" width="10.7109375" customWidth="1"/>
    <col min="8" max="8" width="10.5703125" customWidth="1"/>
    <col min="9" max="11" width="8.7109375" customWidth="1"/>
  </cols>
  <sheetData>
    <row r="1" spans="1:8">
      <c r="A1" s="144" t="s">
        <v>21</v>
      </c>
      <c r="B1" s="145"/>
      <c r="C1" s="145"/>
      <c r="D1" s="145"/>
      <c r="E1" s="145"/>
      <c r="F1" s="145"/>
      <c r="G1" s="145"/>
      <c r="H1" s="146"/>
    </row>
    <row r="3" spans="1:8">
      <c r="A3" s="140"/>
      <c r="B3" s="141"/>
      <c r="C3" s="48" t="s">
        <v>22</v>
      </c>
      <c r="D3" s="48" t="s">
        <v>23</v>
      </c>
      <c r="E3" s="48" t="s">
        <v>24</v>
      </c>
      <c r="F3" s="48" t="s">
        <v>25</v>
      </c>
      <c r="G3" s="48" t="s">
        <v>26</v>
      </c>
      <c r="H3" s="49" t="s">
        <v>27</v>
      </c>
    </row>
    <row r="4" spans="1:8">
      <c r="A4" s="142" t="s">
        <v>28</v>
      </c>
      <c r="B4" s="143"/>
      <c r="C4" s="52">
        <v>500</v>
      </c>
      <c r="D4" s="52">
        <v>750</v>
      </c>
      <c r="E4" s="53">
        <v>800</v>
      </c>
      <c r="F4" s="52">
        <v>700</v>
      </c>
      <c r="G4" s="52">
        <v>654</v>
      </c>
      <c r="H4" s="54">
        <v>700</v>
      </c>
    </row>
    <row r="5" spans="1:8">
      <c r="A5" s="50"/>
      <c r="B5" s="50"/>
      <c r="C5" s="1"/>
      <c r="D5" s="1"/>
      <c r="E5" s="1"/>
      <c r="F5" s="1"/>
      <c r="G5" s="1"/>
      <c r="H5" s="1"/>
    </row>
    <row r="6" spans="1:8">
      <c r="A6" s="142" t="s">
        <v>29</v>
      </c>
      <c r="B6" s="143"/>
      <c r="C6" s="2"/>
      <c r="D6" s="2"/>
      <c r="E6" s="2"/>
      <c r="F6" s="2"/>
      <c r="G6" s="2"/>
      <c r="H6" s="3"/>
    </row>
    <row r="7" spans="1:8">
      <c r="A7" s="142" t="s">
        <v>30</v>
      </c>
      <c r="B7" s="143"/>
      <c r="C7" s="53">
        <v>10</v>
      </c>
      <c r="D7" s="53">
        <v>15</v>
      </c>
      <c r="E7" s="53">
        <v>15</v>
      </c>
      <c r="F7" s="53">
        <v>12</v>
      </c>
      <c r="G7" s="53">
        <v>12</v>
      </c>
      <c r="H7" s="55">
        <v>11</v>
      </c>
    </row>
    <row r="8" spans="1:8">
      <c r="A8" s="142" t="s">
        <v>31</v>
      </c>
      <c r="B8" s="143"/>
      <c r="C8" s="53">
        <v>50</v>
      </c>
      <c r="D8" s="53">
        <v>60</v>
      </c>
      <c r="E8" s="53">
        <v>54</v>
      </c>
      <c r="F8" s="53">
        <v>55</v>
      </c>
      <c r="G8" s="53">
        <v>54</v>
      </c>
      <c r="H8" s="55">
        <v>56</v>
      </c>
    </row>
    <row r="9" spans="1:8">
      <c r="A9" s="142" t="s">
        <v>32</v>
      </c>
      <c r="B9" s="143"/>
      <c r="C9" s="53">
        <v>300</v>
      </c>
      <c r="D9" s="53">
        <v>250</v>
      </c>
      <c r="E9" s="53">
        <v>300</v>
      </c>
      <c r="F9" s="53">
        <v>300</v>
      </c>
      <c r="G9" s="53">
        <v>200</v>
      </c>
      <c r="H9" s="55">
        <v>200</v>
      </c>
    </row>
    <row r="10" spans="1:8">
      <c r="A10" s="142" t="s">
        <v>33</v>
      </c>
      <c r="B10" s="143"/>
      <c r="C10" s="53">
        <v>40</v>
      </c>
      <c r="D10" s="53">
        <v>40</v>
      </c>
      <c r="E10" s="53">
        <v>40</v>
      </c>
      <c r="F10" s="53">
        <v>40</v>
      </c>
      <c r="G10" s="53">
        <v>40</v>
      </c>
      <c r="H10" s="55">
        <v>40</v>
      </c>
    </row>
    <row r="11" spans="1:8">
      <c r="A11" s="142" t="s">
        <v>34</v>
      </c>
      <c r="B11" s="143"/>
      <c r="C11" s="53">
        <v>10</v>
      </c>
      <c r="D11" s="53">
        <v>15</v>
      </c>
      <c r="E11" s="53">
        <v>14</v>
      </c>
      <c r="F11" s="53">
        <v>15</v>
      </c>
      <c r="G11" s="53">
        <v>20</v>
      </c>
      <c r="H11" s="55">
        <v>31</v>
      </c>
    </row>
    <row r="12" spans="1:8">
      <c r="A12" s="142" t="s">
        <v>35</v>
      </c>
      <c r="B12" s="143"/>
      <c r="C12" s="53">
        <v>120</v>
      </c>
      <c r="D12" s="53">
        <v>150</v>
      </c>
      <c r="E12" s="53">
        <v>130</v>
      </c>
      <c r="F12" s="53">
        <v>200</v>
      </c>
      <c r="G12" s="53">
        <v>150</v>
      </c>
      <c r="H12" s="55">
        <v>190</v>
      </c>
    </row>
    <row r="13" spans="1:8">
      <c r="A13" s="142" t="s">
        <v>36</v>
      </c>
      <c r="B13" s="143"/>
      <c r="C13" s="53">
        <v>50</v>
      </c>
      <c r="D13" s="53">
        <v>60</v>
      </c>
      <c r="E13" s="53">
        <v>65</v>
      </c>
      <c r="F13" s="53">
        <v>70</v>
      </c>
      <c r="G13" s="53">
        <v>65</v>
      </c>
      <c r="H13" s="55">
        <v>85</v>
      </c>
    </row>
    <row r="14" spans="1:8">
      <c r="A14" s="142" t="s">
        <v>37</v>
      </c>
      <c r="B14" s="143"/>
      <c r="C14" s="53">
        <v>145</v>
      </c>
      <c r="D14" s="53">
        <v>145</v>
      </c>
      <c r="E14" s="53">
        <v>145</v>
      </c>
      <c r="F14" s="53">
        <v>145</v>
      </c>
      <c r="G14" s="53">
        <v>100</v>
      </c>
      <c r="H14" s="55">
        <v>145</v>
      </c>
    </row>
    <row r="15" spans="1:8">
      <c r="A15" s="51"/>
      <c r="B15" s="50"/>
      <c r="C15" s="1"/>
      <c r="D15" s="1"/>
      <c r="E15" s="1"/>
      <c r="F15" s="1"/>
      <c r="G15" s="1"/>
      <c r="H15" s="1"/>
    </row>
    <row r="16" spans="1:8" ht="38.25" customHeight="1">
      <c r="A16" s="142" t="s">
        <v>38</v>
      </c>
      <c r="B16" s="143"/>
      <c r="C16" s="56">
        <f t="shared" ref="C16:H16" si="0">SUM(C7:C15)</f>
        <v>725</v>
      </c>
      <c r="D16" s="56">
        <f t="shared" si="0"/>
        <v>735</v>
      </c>
      <c r="E16" s="56">
        <f t="shared" si="0"/>
        <v>763</v>
      </c>
      <c r="F16" s="56">
        <f t="shared" si="0"/>
        <v>837</v>
      </c>
      <c r="G16" s="56">
        <f t="shared" si="0"/>
        <v>641</v>
      </c>
      <c r="H16" s="56">
        <f t="shared" si="0"/>
        <v>758</v>
      </c>
    </row>
    <row r="17" spans="1:8">
      <c r="A17" s="50"/>
      <c r="B17" s="50"/>
      <c r="C17" s="1"/>
      <c r="D17" s="1"/>
      <c r="E17" s="1"/>
      <c r="F17" s="1"/>
      <c r="G17" s="1"/>
      <c r="H17" s="1"/>
    </row>
    <row r="18" spans="1:8">
      <c r="A18" s="142" t="s">
        <v>39</v>
      </c>
      <c r="B18" s="143"/>
      <c r="C18" s="57">
        <f t="shared" ref="C18:H18" si="1">C4-C16</f>
        <v>-225</v>
      </c>
      <c r="D18" s="57">
        <f t="shared" si="1"/>
        <v>15</v>
      </c>
      <c r="E18" s="57">
        <f t="shared" si="1"/>
        <v>37</v>
      </c>
      <c r="F18" s="57">
        <f t="shared" si="1"/>
        <v>-137</v>
      </c>
      <c r="G18" s="57">
        <f t="shared" si="1"/>
        <v>13</v>
      </c>
      <c r="H18" s="57">
        <f t="shared" si="1"/>
        <v>-58</v>
      </c>
    </row>
    <row r="21" spans="1:8" ht="15.75" customHeight="1">
      <c r="A21" s="22"/>
      <c r="B21" s="22"/>
      <c r="C21" s="22"/>
      <c r="D21" s="22"/>
      <c r="E21" s="22"/>
      <c r="F21" s="22"/>
      <c r="G21" s="22"/>
      <c r="H21" s="22"/>
    </row>
    <row r="22" spans="1:8" ht="15.75" customHeight="1">
      <c r="A22" s="22"/>
      <c r="B22" s="22"/>
      <c r="C22" s="22"/>
      <c r="D22" s="22"/>
      <c r="E22" s="22"/>
      <c r="F22" s="22"/>
      <c r="G22" s="22"/>
      <c r="H22" s="22"/>
    </row>
    <row r="23" spans="1:8" ht="15.75" customHeight="1">
      <c r="A23" s="22"/>
      <c r="B23" s="22"/>
      <c r="C23" s="22"/>
      <c r="D23" s="22"/>
      <c r="E23" s="22"/>
      <c r="F23" s="22"/>
      <c r="G23" s="22"/>
      <c r="H23" s="22"/>
    </row>
    <row r="24" spans="1:8" ht="15.75" customHeight="1">
      <c r="A24" s="22"/>
      <c r="B24" s="22"/>
      <c r="C24" s="22"/>
      <c r="D24" s="22"/>
      <c r="E24" s="22"/>
      <c r="F24" s="22"/>
      <c r="G24" s="22"/>
      <c r="H24" s="22"/>
    </row>
    <row r="25" spans="1:8" ht="15.75" customHeight="1">
      <c r="A25" s="22"/>
      <c r="B25" s="22"/>
      <c r="C25" s="22"/>
      <c r="D25" s="22"/>
      <c r="E25" s="22"/>
      <c r="F25" s="22"/>
      <c r="G25" s="22"/>
      <c r="H25" s="22"/>
    </row>
    <row r="26" spans="1:8" ht="15.75" customHeight="1">
      <c r="A26" s="22"/>
      <c r="B26" s="22"/>
      <c r="C26" s="22"/>
      <c r="D26" s="22"/>
      <c r="E26" s="22"/>
      <c r="F26" s="22"/>
      <c r="G26" s="22"/>
      <c r="H26" s="22"/>
    </row>
    <row r="27" spans="1:8" ht="15.75" customHeight="1">
      <c r="A27" s="22"/>
      <c r="B27" s="22"/>
      <c r="C27" s="22"/>
      <c r="D27" s="22"/>
      <c r="E27" s="22"/>
      <c r="F27" s="22"/>
      <c r="G27" s="22"/>
      <c r="H27" s="22"/>
    </row>
    <row r="28" spans="1:8" ht="15.75" customHeight="1">
      <c r="A28" s="22"/>
      <c r="B28" s="22"/>
      <c r="C28" s="22"/>
      <c r="D28" s="22"/>
      <c r="E28" s="22"/>
      <c r="F28" s="22"/>
      <c r="G28" s="22"/>
      <c r="H28" s="22"/>
    </row>
    <row r="29" spans="1:8" ht="15.75" customHeight="1">
      <c r="A29" s="22"/>
      <c r="B29" s="22"/>
      <c r="C29" s="22"/>
      <c r="D29" s="22"/>
      <c r="E29" s="22"/>
      <c r="F29" s="22"/>
      <c r="G29" s="22"/>
      <c r="H29" s="22"/>
    </row>
    <row r="30" spans="1:8" ht="15.75" customHeight="1">
      <c r="A30" s="22"/>
      <c r="B30" s="22"/>
      <c r="C30" s="22"/>
      <c r="D30" s="22"/>
      <c r="E30" s="22"/>
      <c r="F30" s="22"/>
      <c r="G30" s="22"/>
      <c r="H30" s="22"/>
    </row>
    <row r="31" spans="1:8" ht="15.75" customHeight="1">
      <c r="A31" s="22"/>
      <c r="B31" s="22"/>
      <c r="C31" s="22"/>
      <c r="D31" s="22"/>
      <c r="E31" s="22"/>
      <c r="F31" s="22"/>
      <c r="G31" s="22"/>
      <c r="H31" s="22"/>
    </row>
    <row r="32" spans="1:8" ht="15.75" customHeight="1">
      <c r="A32" s="22"/>
      <c r="B32" s="22"/>
      <c r="C32" s="22"/>
      <c r="D32" s="22"/>
      <c r="E32" s="22"/>
      <c r="F32" s="22"/>
      <c r="G32" s="22"/>
      <c r="H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A3:B3"/>
    <mergeCell ref="A4:B4"/>
    <mergeCell ref="A16:B16"/>
    <mergeCell ref="A18:B18"/>
    <mergeCell ref="A1:H1"/>
    <mergeCell ref="A7:B7"/>
    <mergeCell ref="A8:B8"/>
    <mergeCell ref="A9:B9"/>
    <mergeCell ref="A14:B14"/>
    <mergeCell ref="A10:B10"/>
    <mergeCell ref="A11:B11"/>
    <mergeCell ref="A12:B12"/>
    <mergeCell ref="A13:B13"/>
    <mergeCell ref="A6:B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>
      <selection activeCell="D11" sqref="D11"/>
    </sheetView>
  </sheetViews>
  <sheetFormatPr defaultColWidth="14.42578125" defaultRowHeight="15" customHeight="1"/>
  <cols>
    <col min="1" max="1" width="8.7109375" customWidth="1"/>
    <col min="2" max="2" width="11.28515625" customWidth="1"/>
    <col min="3" max="3" width="10.5703125" customWidth="1"/>
    <col min="4" max="4" width="8.7109375" customWidth="1"/>
    <col min="5" max="5" width="10.85546875" customWidth="1"/>
    <col min="6" max="6" width="8.7109375" customWidth="1"/>
    <col min="7" max="7" width="13.7109375" customWidth="1"/>
    <col min="8" max="8" width="13.28515625" customWidth="1"/>
    <col min="9" max="11" width="8.7109375" customWidth="1"/>
  </cols>
  <sheetData>
    <row r="1" spans="1:8">
      <c r="A1" s="147" t="s">
        <v>39</v>
      </c>
      <c r="B1" s="148"/>
      <c r="C1" s="148"/>
      <c r="D1" s="148"/>
      <c r="E1" s="148"/>
      <c r="F1" s="148"/>
      <c r="G1" s="148"/>
      <c r="H1" s="149"/>
    </row>
    <row r="2" spans="1:8" ht="22.5">
      <c r="A2" s="123" t="s">
        <v>40</v>
      </c>
      <c r="B2" s="124" t="s">
        <v>41</v>
      </c>
      <c r="C2" s="124" t="s">
        <v>42</v>
      </c>
      <c r="D2" s="125" t="s">
        <v>43</v>
      </c>
      <c r="E2" s="125" t="s">
        <v>44</v>
      </c>
      <c r="F2" s="124" t="s">
        <v>45</v>
      </c>
      <c r="G2" s="125" t="s">
        <v>46</v>
      </c>
      <c r="H2" s="124" t="s">
        <v>47</v>
      </c>
    </row>
    <row r="3" spans="1:8">
      <c r="A3" s="126">
        <v>1</v>
      </c>
      <c r="B3" s="62" t="s">
        <v>48</v>
      </c>
      <c r="C3" s="58">
        <v>853</v>
      </c>
      <c r="D3" s="59">
        <v>0.1</v>
      </c>
      <c r="E3" s="59">
        <v>0.09</v>
      </c>
      <c r="F3" s="60">
        <f t="shared" ref="F3:F10" si="0">C3*D3</f>
        <v>85.300000000000011</v>
      </c>
      <c r="G3" s="61">
        <f t="shared" ref="G3:G10" si="1">C3*E3</f>
        <v>76.77</v>
      </c>
      <c r="H3" s="61">
        <f t="shared" ref="H3:H10" si="2">C3+G3-F3</f>
        <v>844.47</v>
      </c>
    </row>
    <row r="4" spans="1:8">
      <c r="A4" s="126">
        <v>2</v>
      </c>
      <c r="B4" s="62" t="s">
        <v>49</v>
      </c>
      <c r="C4" s="58">
        <v>951</v>
      </c>
      <c r="D4" s="59">
        <v>9.9900000000000003E-2</v>
      </c>
      <c r="E4" s="59">
        <v>0.08</v>
      </c>
      <c r="F4" s="60">
        <f t="shared" si="0"/>
        <v>95.004900000000006</v>
      </c>
      <c r="G4" s="61">
        <f t="shared" si="1"/>
        <v>76.08</v>
      </c>
      <c r="H4" s="61">
        <f t="shared" si="2"/>
        <v>932.07509999999991</v>
      </c>
    </row>
    <row r="5" spans="1:8">
      <c r="A5" s="126">
        <v>3</v>
      </c>
      <c r="B5" s="62" t="s">
        <v>50</v>
      </c>
      <c r="C5" s="58">
        <v>456</v>
      </c>
      <c r="D5" s="59">
        <v>8.6400000000000005E-2</v>
      </c>
      <c r="E5" s="59">
        <v>0.06</v>
      </c>
      <c r="F5" s="60">
        <f t="shared" si="0"/>
        <v>39.398400000000002</v>
      </c>
      <c r="G5" s="61">
        <f t="shared" si="1"/>
        <v>27.36</v>
      </c>
      <c r="H5" s="61">
        <f t="shared" si="2"/>
        <v>443.96160000000003</v>
      </c>
    </row>
    <row r="6" spans="1:8">
      <c r="A6" s="126">
        <v>4</v>
      </c>
      <c r="B6" s="62" t="s">
        <v>51</v>
      </c>
      <c r="C6" s="58">
        <v>500</v>
      </c>
      <c r="D6" s="59">
        <v>8.5000000000000006E-2</v>
      </c>
      <c r="E6" s="59">
        <v>0.06</v>
      </c>
      <c r="F6" s="60">
        <f t="shared" si="0"/>
        <v>42.5</v>
      </c>
      <c r="G6" s="61">
        <f t="shared" si="1"/>
        <v>30</v>
      </c>
      <c r="H6" s="61">
        <f t="shared" si="2"/>
        <v>487.5</v>
      </c>
    </row>
    <row r="7" spans="1:8">
      <c r="A7" s="126">
        <v>5</v>
      </c>
      <c r="B7" s="62" t="s">
        <v>52</v>
      </c>
      <c r="C7" s="58">
        <v>850</v>
      </c>
      <c r="D7" s="59">
        <v>8.9899999999999994E-2</v>
      </c>
      <c r="E7" s="59">
        <v>7.0000000000000007E-2</v>
      </c>
      <c r="F7" s="60">
        <f t="shared" si="0"/>
        <v>76.414999999999992</v>
      </c>
      <c r="G7" s="61">
        <f t="shared" si="1"/>
        <v>59.500000000000007</v>
      </c>
      <c r="H7" s="61">
        <f t="shared" si="2"/>
        <v>833.08500000000004</v>
      </c>
    </row>
    <row r="8" spans="1:8">
      <c r="A8" s="126">
        <v>6</v>
      </c>
      <c r="B8" s="62" t="s">
        <v>53</v>
      </c>
      <c r="C8" s="58">
        <v>459</v>
      </c>
      <c r="D8" s="59">
        <v>6.25E-2</v>
      </c>
      <c r="E8" s="59">
        <v>0.05</v>
      </c>
      <c r="F8" s="60">
        <f t="shared" si="0"/>
        <v>28.6875</v>
      </c>
      <c r="G8" s="61">
        <f t="shared" si="1"/>
        <v>22.950000000000003</v>
      </c>
      <c r="H8" s="61">
        <f t="shared" si="2"/>
        <v>453.26249999999999</v>
      </c>
    </row>
    <row r="9" spans="1:8">
      <c r="A9" s="126">
        <v>7</v>
      </c>
      <c r="B9" s="62" t="s">
        <v>54</v>
      </c>
      <c r="C9" s="58">
        <v>478</v>
      </c>
      <c r="D9" s="59">
        <v>7.1199999999999999E-2</v>
      </c>
      <c r="E9" s="59">
        <v>0.05</v>
      </c>
      <c r="F9" s="60">
        <f t="shared" si="0"/>
        <v>34.0336</v>
      </c>
      <c r="G9" s="61">
        <f t="shared" si="1"/>
        <v>23.900000000000002</v>
      </c>
      <c r="H9" s="61">
        <f t="shared" si="2"/>
        <v>467.8664</v>
      </c>
    </row>
    <row r="10" spans="1:8">
      <c r="A10" s="126">
        <v>8</v>
      </c>
      <c r="B10" s="62" t="s">
        <v>55</v>
      </c>
      <c r="C10" s="58">
        <v>658</v>
      </c>
      <c r="D10" s="59">
        <v>5.9900000000000002E-2</v>
      </c>
      <c r="E10" s="59">
        <v>0.04</v>
      </c>
      <c r="F10" s="60">
        <f t="shared" si="0"/>
        <v>39.414200000000001</v>
      </c>
      <c r="G10" s="61">
        <f t="shared" si="1"/>
        <v>26.32</v>
      </c>
      <c r="H10" s="61">
        <f t="shared" si="2"/>
        <v>644.9058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>
      <selection activeCell="D15" sqref="D15"/>
    </sheetView>
  </sheetViews>
  <sheetFormatPr defaultColWidth="14.42578125" defaultRowHeight="15" customHeight="1"/>
  <cols>
    <col min="1" max="2" width="8.7109375" customWidth="1"/>
    <col min="3" max="3" width="12" customWidth="1"/>
    <col min="4" max="4" width="9.5703125" customWidth="1"/>
    <col min="5" max="5" width="12.28515625" customWidth="1"/>
    <col min="6" max="6" width="12.5703125" customWidth="1"/>
    <col min="7" max="11" width="8.7109375" customWidth="1"/>
  </cols>
  <sheetData>
    <row r="1" spans="1:10" ht="15" customHeight="1">
      <c r="A1" s="150" t="s">
        <v>56</v>
      </c>
      <c r="B1" s="151"/>
      <c r="C1" s="68">
        <v>2.94</v>
      </c>
      <c r="D1" s="63"/>
      <c r="E1" s="90"/>
      <c r="F1" s="90"/>
      <c r="G1" s="90"/>
      <c r="H1" s="90"/>
      <c r="I1" s="90"/>
      <c r="J1" s="87"/>
    </row>
    <row r="2" spans="1:10">
      <c r="A2" s="152" t="s">
        <v>57</v>
      </c>
      <c r="B2" s="153"/>
      <c r="C2" s="153"/>
      <c r="D2" s="153"/>
      <c r="E2" s="153"/>
      <c r="F2" s="153"/>
      <c r="G2" s="22"/>
      <c r="H2" s="22"/>
      <c r="I2" s="22"/>
      <c r="J2" s="22"/>
    </row>
    <row r="3" spans="1:10">
      <c r="A3" s="150" t="s">
        <v>58</v>
      </c>
      <c r="B3" s="151"/>
      <c r="C3" s="69" t="s">
        <v>59</v>
      </c>
      <c r="D3" s="70" t="s">
        <v>60</v>
      </c>
      <c r="E3" s="69" t="s">
        <v>61</v>
      </c>
      <c r="F3" s="69" t="s">
        <v>62</v>
      </c>
      <c r="G3" s="22"/>
      <c r="H3" s="22"/>
      <c r="I3" s="22"/>
      <c r="J3" s="22"/>
    </row>
    <row r="4" spans="1:10">
      <c r="A4" s="150" t="s">
        <v>63</v>
      </c>
      <c r="B4" s="151"/>
      <c r="C4" s="64">
        <v>500</v>
      </c>
      <c r="D4" s="65">
        <v>0.15</v>
      </c>
      <c r="E4" s="66">
        <f t="shared" ref="E4:E10" si="0">C4*D4</f>
        <v>75</v>
      </c>
      <c r="F4" s="67">
        <f t="shared" ref="F4:F10" si="1">E4/$C$1</f>
        <v>25.510204081632654</v>
      </c>
      <c r="G4" s="22"/>
      <c r="H4" s="22"/>
      <c r="I4" s="22"/>
      <c r="J4" s="22"/>
    </row>
    <row r="5" spans="1:10">
      <c r="A5" s="150" t="s">
        <v>64</v>
      </c>
      <c r="B5" s="151"/>
      <c r="C5" s="64">
        <v>750</v>
      </c>
      <c r="D5" s="65">
        <v>0.15</v>
      </c>
      <c r="E5" s="66">
        <f t="shared" si="0"/>
        <v>112.5</v>
      </c>
      <c r="F5" s="67">
        <f t="shared" si="1"/>
        <v>38.265306122448983</v>
      </c>
      <c r="G5" s="22"/>
      <c r="H5" s="22"/>
      <c r="I5" s="22"/>
      <c r="J5" s="22"/>
    </row>
    <row r="6" spans="1:10">
      <c r="A6" s="150" t="s">
        <v>65</v>
      </c>
      <c r="B6" s="151"/>
      <c r="C6" s="64">
        <v>250</v>
      </c>
      <c r="D6" s="65">
        <v>10</v>
      </c>
      <c r="E6" s="66">
        <f t="shared" si="0"/>
        <v>2500</v>
      </c>
      <c r="F6" s="67">
        <f t="shared" si="1"/>
        <v>850.34013605442181</v>
      </c>
      <c r="G6" s="22"/>
      <c r="H6" s="22"/>
      <c r="I6" s="22"/>
      <c r="J6" s="22"/>
    </row>
    <row r="7" spans="1:10">
      <c r="A7" s="150" t="s">
        <v>66</v>
      </c>
      <c r="B7" s="151"/>
      <c r="C7" s="64">
        <v>310</v>
      </c>
      <c r="D7" s="65">
        <v>0.5</v>
      </c>
      <c r="E7" s="66">
        <f t="shared" si="0"/>
        <v>155</v>
      </c>
      <c r="F7" s="67">
        <f t="shared" si="1"/>
        <v>52.721088435374149</v>
      </c>
      <c r="G7" s="22"/>
      <c r="H7" s="22"/>
      <c r="I7" s="22"/>
      <c r="J7" s="22"/>
    </row>
    <row r="8" spans="1:10">
      <c r="A8" s="150" t="s">
        <v>67</v>
      </c>
      <c r="B8" s="151"/>
      <c r="C8" s="64">
        <v>500</v>
      </c>
      <c r="D8" s="65">
        <v>0.1</v>
      </c>
      <c r="E8" s="66">
        <f t="shared" si="0"/>
        <v>50</v>
      </c>
      <c r="F8" s="67">
        <f t="shared" si="1"/>
        <v>17.006802721088437</v>
      </c>
      <c r="G8" s="22"/>
      <c r="H8" s="22"/>
      <c r="I8" s="22"/>
      <c r="J8" s="22"/>
    </row>
    <row r="9" spans="1:10">
      <c r="A9" s="150" t="s">
        <v>68</v>
      </c>
      <c r="B9" s="151"/>
      <c r="C9" s="64">
        <v>1500</v>
      </c>
      <c r="D9" s="65">
        <v>2.5</v>
      </c>
      <c r="E9" s="66">
        <f t="shared" si="0"/>
        <v>3750</v>
      </c>
      <c r="F9" s="67">
        <f t="shared" si="1"/>
        <v>1275.5102040816328</v>
      </c>
      <c r="G9" s="22"/>
      <c r="H9" s="22"/>
      <c r="I9" s="22"/>
      <c r="J9" s="22"/>
    </row>
    <row r="10" spans="1:10">
      <c r="A10" s="150" t="s">
        <v>69</v>
      </c>
      <c r="B10" s="151"/>
      <c r="C10" s="64">
        <v>190</v>
      </c>
      <c r="D10" s="65">
        <v>6</v>
      </c>
      <c r="E10" s="66">
        <f t="shared" si="0"/>
        <v>1140</v>
      </c>
      <c r="F10" s="67">
        <f t="shared" si="1"/>
        <v>387.75510204081633</v>
      </c>
      <c r="G10" s="22"/>
      <c r="H10" s="22"/>
      <c r="I10" s="22"/>
      <c r="J1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1:B1"/>
    <mergeCell ref="A2:F2"/>
    <mergeCell ref="A10:B10"/>
    <mergeCell ref="A8:B8"/>
    <mergeCell ref="A9:B9"/>
    <mergeCell ref="A6:B6"/>
    <mergeCell ref="A7:B7"/>
    <mergeCell ref="A4:B4"/>
    <mergeCell ref="A5:B5"/>
    <mergeCell ref="A3:B3"/>
  </mergeCells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workbookViewId="0">
      <selection activeCell="C5" sqref="C5:G10"/>
    </sheetView>
  </sheetViews>
  <sheetFormatPr defaultColWidth="14.42578125" defaultRowHeight="15" customHeight="1"/>
  <cols>
    <col min="1" max="2" width="8.7109375" customWidth="1"/>
    <col min="3" max="4" width="10.85546875" customWidth="1"/>
    <col min="5" max="6" width="13.140625" customWidth="1"/>
    <col min="7" max="7" width="11.42578125" customWidth="1"/>
    <col min="8" max="11" width="8.7109375" customWidth="1"/>
  </cols>
  <sheetData>
    <row r="1" spans="1:9">
      <c r="A1" s="154" t="s">
        <v>70</v>
      </c>
      <c r="B1" s="155"/>
      <c r="C1" s="71" t="s">
        <v>71</v>
      </c>
      <c r="D1" s="71" t="s">
        <v>72</v>
      </c>
      <c r="E1" s="71" t="s">
        <v>73</v>
      </c>
      <c r="F1" s="71" t="s">
        <v>74</v>
      </c>
      <c r="G1" s="72" t="s">
        <v>75</v>
      </c>
      <c r="H1" s="22"/>
      <c r="I1" s="22"/>
    </row>
    <row r="2" spans="1:9">
      <c r="A2" s="73"/>
      <c r="B2" s="74"/>
      <c r="C2" s="75">
        <v>140000</v>
      </c>
      <c r="D2" s="75">
        <v>185000</v>
      </c>
      <c r="E2" s="75">
        <v>204100</v>
      </c>
      <c r="F2" s="75">
        <v>240000</v>
      </c>
      <c r="G2" s="76">
        <f>SUM(C2:F2)</f>
        <v>769100</v>
      </c>
      <c r="H2" s="22"/>
      <c r="I2" s="22"/>
    </row>
    <row r="3" spans="1:9">
      <c r="A3" s="77"/>
      <c r="B3" s="77"/>
      <c r="C3" s="77"/>
      <c r="D3" s="77"/>
      <c r="E3" s="77"/>
      <c r="F3" s="77"/>
      <c r="G3" s="77"/>
      <c r="H3" s="22"/>
      <c r="I3" s="22"/>
    </row>
    <row r="4" spans="1:9">
      <c r="A4" s="154" t="s">
        <v>76</v>
      </c>
      <c r="B4" s="155"/>
      <c r="C4" s="78" t="s">
        <v>71</v>
      </c>
      <c r="D4" s="78" t="s">
        <v>72</v>
      </c>
      <c r="E4" s="72" t="s">
        <v>73</v>
      </c>
      <c r="F4" s="78" t="s">
        <v>74</v>
      </c>
      <c r="G4" s="72" t="s">
        <v>77</v>
      </c>
      <c r="H4" s="22"/>
      <c r="I4" s="22"/>
    </row>
    <row r="5" spans="1:9">
      <c r="A5" s="154" t="s">
        <v>78</v>
      </c>
      <c r="B5" s="155"/>
      <c r="C5" s="79">
        <v>20000</v>
      </c>
      <c r="D5" s="79">
        <v>26000</v>
      </c>
      <c r="E5" s="79">
        <v>33800</v>
      </c>
      <c r="F5" s="79">
        <v>43940</v>
      </c>
      <c r="G5" s="76">
        <f t="shared" ref="G5:G10" si="0">SUM(C5:F5)</f>
        <v>123740</v>
      </c>
      <c r="H5" s="22"/>
      <c r="I5" s="22"/>
    </row>
    <row r="6" spans="1:9">
      <c r="A6" s="154" t="s">
        <v>79</v>
      </c>
      <c r="B6" s="155"/>
      <c r="C6" s="79">
        <v>20000</v>
      </c>
      <c r="D6" s="79">
        <v>15600</v>
      </c>
      <c r="E6" s="79">
        <v>20280</v>
      </c>
      <c r="F6" s="79">
        <v>26364</v>
      </c>
      <c r="G6" s="76">
        <f t="shared" si="0"/>
        <v>82244</v>
      </c>
      <c r="H6" s="22"/>
      <c r="I6" s="22"/>
    </row>
    <row r="7" spans="1:9">
      <c r="A7" s="154" t="s">
        <v>80</v>
      </c>
      <c r="B7" s="155"/>
      <c r="C7" s="79">
        <v>12000</v>
      </c>
      <c r="D7" s="79">
        <v>20930</v>
      </c>
      <c r="E7" s="79">
        <v>27209</v>
      </c>
      <c r="F7" s="79">
        <v>35371.699999999997</v>
      </c>
      <c r="G7" s="76">
        <f t="shared" si="0"/>
        <v>95510.7</v>
      </c>
      <c r="H7" s="22"/>
      <c r="I7" s="22"/>
    </row>
    <row r="8" spans="1:9" ht="15" customHeight="1">
      <c r="A8" s="154" t="s">
        <v>81</v>
      </c>
      <c r="B8" s="155"/>
      <c r="C8" s="79">
        <v>16100</v>
      </c>
      <c r="D8" s="79">
        <v>28870</v>
      </c>
      <c r="E8" s="79">
        <v>33631</v>
      </c>
      <c r="F8" s="79">
        <v>43720.3</v>
      </c>
      <c r="G8" s="76">
        <f t="shared" si="0"/>
        <v>122321.3</v>
      </c>
      <c r="H8" s="22"/>
      <c r="I8" s="22"/>
    </row>
    <row r="9" spans="1:9" ht="15" customHeight="1">
      <c r="A9" s="154" t="s">
        <v>82</v>
      </c>
      <c r="B9" s="155"/>
      <c r="C9" s="79">
        <v>19900</v>
      </c>
      <c r="D9" s="79">
        <v>39000</v>
      </c>
      <c r="E9" s="79">
        <v>50700</v>
      </c>
      <c r="F9" s="79">
        <v>65910</v>
      </c>
      <c r="G9" s="76">
        <f t="shared" si="0"/>
        <v>175510</v>
      </c>
      <c r="H9" s="22"/>
      <c r="I9" s="22"/>
    </row>
    <row r="10" spans="1:9">
      <c r="A10" s="154" t="s">
        <v>83</v>
      </c>
      <c r="B10" s="155"/>
      <c r="C10" s="79">
        <v>25000</v>
      </c>
      <c r="D10" s="79">
        <v>32500</v>
      </c>
      <c r="E10" s="79">
        <v>42250</v>
      </c>
      <c r="F10" s="79">
        <v>54925</v>
      </c>
      <c r="G10" s="76">
        <f t="shared" si="0"/>
        <v>154675</v>
      </c>
      <c r="H10" s="22"/>
      <c r="I10" s="22"/>
    </row>
    <row r="11" spans="1:9">
      <c r="A11" s="80"/>
      <c r="B11" s="80"/>
      <c r="C11" s="81"/>
      <c r="D11" s="81"/>
      <c r="E11" s="81"/>
      <c r="F11" s="81"/>
      <c r="G11" s="82"/>
      <c r="H11" s="22"/>
      <c r="I11" s="22"/>
    </row>
    <row r="12" spans="1:9" ht="15" customHeight="1">
      <c r="A12" s="154" t="s">
        <v>84</v>
      </c>
      <c r="B12" s="155"/>
      <c r="C12" s="83">
        <f t="shared" ref="C12:F12" si="1">SUM(C5:C11)</f>
        <v>113000</v>
      </c>
      <c r="D12" s="83">
        <f t="shared" si="1"/>
        <v>162900</v>
      </c>
      <c r="E12" s="83">
        <f t="shared" si="1"/>
        <v>207870</v>
      </c>
      <c r="F12" s="83">
        <f t="shared" si="1"/>
        <v>270231</v>
      </c>
      <c r="G12" s="84"/>
      <c r="H12" s="22"/>
      <c r="I12" s="22"/>
    </row>
    <row r="13" spans="1:9" ht="15" customHeight="1">
      <c r="A13" s="154" t="s">
        <v>85</v>
      </c>
      <c r="B13" s="155"/>
      <c r="C13" s="83">
        <f t="shared" ref="C13:F13" si="2">C2-C12</f>
        <v>27000</v>
      </c>
      <c r="D13" s="83">
        <f t="shared" si="2"/>
        <v>22100</v>
      </c>
      <c r="E13" s="83">
        <f t="shared" si="2"/>
        <v>-3770</v>
      </c>
      <c r="F13" s="83">
        <f t="shared" si="2"/>
        <v>-30231</v>
      </c>
      <c r="G13" s="84"/>
      <c r="H13" s="22"/>
      <c r="I13" s="22"/>
    </row>
    <row r="14" spans="1:9">
      <c r="A14" s="154" t="s">
        <v>86</v>
      </c>
      <c r="B14" s="155"/>
      <c r="C14" s="85" t="str">
        <f t="shared" ref="C14:F14" si="3">IF(C13&lt;1000,"Prejuízo Total",IF(C13&lt;=5000,"Lucro Médio",IF(C13&gt;5000,"Lucro Total")))</f>
        <v>Lucro Total</v>
      </c>
      <c r="D14" s="85" t="str">
        <f t="shared" si="3"/>
        <v>Lucro Total</v>
      </c>
      <c r="E14" s="85" t="str">
        <f t="shared" si="3"/>
        <v>Prejuízo Total</v>
      </c>
      <c r="F14" s="85" t="str">
        <f t="shared" si="3"/>
        <v>Prejuízo Total</v>
      </c>
      <c r="G14" s="84"/>
      <c r="H14" s="22"/>
      <c r="I14" s="22"/>
    </row>
    <row r="15" spans="1:9" ht="15" customHeight="1">
      <c r="A15" s="1"/>
      <c r="B15" s="1"/>
      <c r="C15" s="1"/>
      <c r="D15" s="154" t="s">
        <v>87</v>
      </c>
      <c r="E15" s="156"/>
      <c r="F15" s="155"/>
      <c r="G15" s="86">
        <f>SUM(G5:G10)</f>
        <v>754001</v>
      </c>
      <c r="H15" s="7"/>
      <c r="I15" s="7"/>
    </row>
    <row r="16" spans="1:9" ht="14.45">
      <c r="A16" s="4"/>
      <c r="B16" s="4"/>
      <c r="C16" s="4"/>
      <c r="D16" s="4"/>
      <c r="E16" s="4"/>
      <c r="F16" s="4"/>
      <c r="G16" s="22"/>
      <c r="H16" s="22"/>
      <c r="I16" s="22"/>
    </row>
    <row r="17" spans="1:7" ht="14.45">
      <c r="A17" s="4"/>
      <c r="B17" s="4"/>
      <c r="C17" s="4"/>
      <c r="D17" s="4"/>
      <c r="E17" s="4"/>
      <c r="F17" s="4"/>
      <c r="G17" s="4"/>
    </row>
    <row r="18" spans="1:7" ht="14.45">
      <c r="A18" s="4"/>
      <c r="B18" s="4"/>
      <c r="C18" s="4"/>
      <c r="D18" s="4"/>
      <c r="E18" s="4"/>
      <c r="F18" s="4"/>
      <c r="G18" s="22"/>
    </row>
    <row r="19" spans="1:7" ht="14.45">
      <c r="A19" s="4"/>
      <c r="B19" s="4"/>
      <c r="C19" s="4"/>
      <c r="D19" s="4"/>
      <c r="E19" s="4"/>
      <c r="F19" s="4"/>
      <c r="G19" s="22"/>
    </row>
    <row r="20" spans="1:7" ht="14.45">
      <c r="A20" s="4"/>
      <c r="B20" s="4"/>
      <c r="C20" s="4"/>
      <c r="D20" s="4"/>
      <c r="E20" s="4"/>
      <c r="F20" s="4"/>
      <c r="G20" s="22"/>
    </row>
    <row r="21" spans="1:7" ht="15.75" customHeight="1">
      <c r="A21" s="4"/>
      <c r="B21" s="4"/>
      <c r="C21" s="4"/>
      <c r="D21" s="4"/>
      <c r="E21" s="4"/>
      <c r="F21" s="4"/>
      <c r="G21" s="22"/>
    </row>
    <row r="22" spans="1:7" ht="15.75" customHeight="1">
      <c r="A22" s="4"/>
      <c r="B22" s="4"/>
      <c r="C22" s="4"/>
      <c r="D22" s="4"/>
      <c r="E22" s="4"/>
      <c r="F22" s="4"/>
      <c r="G22" s="22"/>
    </row>
    <row r="23" spans="1:7" ht="15.75" customHeight="1">
      <c r="A23" s="4"/>
      <c r="B23" s="4"/>
      <c r="C23" s="4"/>
      <c r="D23" s="4"/>
      <c r="E23" s="4"/>
      <c r="F23" s="4"/>
      <c r="G23" s="22"/>
    </row>
    <row r="24" spans="1:7" ht="15.75" customHeight="1">
      <c r="A24" s="4"/>
      <c r="B24" s="4"/>
      <c r="C24" s="4"/>
      <c r="D24" s="4"/>
      <c r="E24" s="4"/>
      <c r="F24" s="4"/>
      <c r="G24" s="22"/>
    </row>
    <row r="25" spans="1:7" ht="15.75" customHeight="1">
      <c r="A25" s="4"/>
      <c r="B25" s="4"/>
      <c r="C25" s="4"/>
      <c r="D25" s="4"/>
      <c r="E25" s="4"/>
      <c r="F25" s="4"/>
      <c r="G25" s="4"/>
    </row>
    <row r="26" spans="1:7" ht="15.75" customHeight="1">
      <c r="A26" s="4"/>
      <c r="B26" s="4"/>
      <c r="C26" s="4"/>
      <c r="D26" s="4"/>
      <c r="E26" s="4"/>
      <c r="F26" s="4"/>
      <c r="G26" s="4"/>
    </row>
    <row r="27" spans="1:7" ht="15.75" customHeight="1">
      <c r="A27" s="4"/>
      <c r="B27" s="4"/>
      <c r="C27" s="4"/>
      <c r="D27" s="4"/>
      <c r="E27" s="4"/>
      <c r="F27" s="4"/>
      <c r="G27" s="4"/>
    </row>
    <row r="28" spans="1:7" ht="15.75" customHeight="1">
      <c r="A28" s="4"/>
      <c r="B28" s="4"/>
      <c r="C28" s="4"/>
      <c r="D28" s="4"/>
      <c r="E28" s="4"/>
      <c r="F28" s="4"/>
      <c r="G28" s="22"/>
    </row>
    <row r="29" spans="1:7" ht="15.75" customHeight="1">
      <c r="A29" s="22"/>
      <c r="B29" s="22"/>
      <c r="C29" s="22"/>
      <c r="D29" s="22"/>
      <c r="E29" s="22"/>
      <c r="F29" s="22"/>
      <c r="G29" s="22"/>
    </row>
    <row r="30" spans="1:7" ht="15.75" customHeight="1">
      <c r="A30" s="22"/>
      <c r="B30" s="22"/>
      <c r="C30" s="22"/>
      <c r="D30" s="22"/>
      <c r="E30" s="22"/>
      <c r="F30" s="22"/>
      <c r="G30" s="22"/>
    </row>
    <row r="31" spans="1:7" ht="15.75" customHeight="1">
      <c r="A31" s="22"/>
      <c r="B31" s="22"/>
      <c r="C31" s="22"/>
      <c r="D31" s="22"/>
      <c r="E31" s="22"/>
      <c r="F31" s="22"/>
      <c r="G31" s="22"/>
    </row>
    <row r="32" spans="1:7" ht="15.75" customHeight="1">
      <c r="A32" s="22"/>
      <c r="B32" s="22"/>
      <c r="C32" s="22"/>
      <c r="D32" s="22"/>
      <c r="E32" s="22"/>
      <c r="F32" s="22"/>
      <c r="G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A7:B7"/>
    <mergeCell ref="A6:B6"/>
    <mergeCell ref="A4:B4"/>
    <mergeCell ref="A5:B5"/>
    <mergeCell ref="A1:B1"/>
    <mergeCell ref="A8:B8"/>
    <mergeCell ref="D15:F15"/>
    <mergeCell ref="A14:B14"/>
    <mergeCell ref="A12:B12"/>
    <mergeCell ref="A13:B13"/>
    <mergeCell ref="A9:B9"/>
    <mergeCell ref="A10:B10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workbookViewId="0">
      <selection activeCell="G9" sqref="G9"/>
    </sheetView>
  </sheetViews>
  <sheetFormatPr defaultColWidth="14.42578125" defaultRowHeight="15" customHeight="1"/>
  <cols>
    <col min="1" max="1" width="9" customWidth="1"/>
    <col min="2" max="2" width="8.7109375" customWidth="1"/>
    <col min="3" max="3" width="18.42578125" customWidth="1"/>
    <col min="4" max="4" width="10.5703125" customWidth="1"/>
    <col min="5" max="5" width="13.5703125" customWidth="1"/>
    <col min="6" max="6" width="6.140625" customWidth="1"/>
    <col min="7" max="7" width="12.140625" customWidth="1"/>
    <col min="8" max="12" width="8.7109375" customWidth="1"/>
  </cols>
  <sheetData>
    <row r="1" spans="1:13">
      <c r="A1" s="157" t="s">
        <v>88</v>
      </c>
      <c r="B1" s="158"/>
      <c r="C1" s="127" t="s">
        <v>89</v>
      </c>
      <c r="D1" s="128" t="s">
        <v>90</v>
      </c>
      <c r="E1" s="127" t="s">
        <v>91</v>
      </c>
      <c r="F1" s="8"/>
      <c r="G1" s="6"/>
      <c r="H1" s="6"/>
      <c r="I1" s="6"/>
      <c r="J1" s="6"/>
      <c r="K1" s="6"/>
      <c r="L1" s="4"/>
      <c r="M1" s="22"/>
    </row>
    <row r="2" spans="1:13" ht="22.5" customHeight="1">
      <c r="A2" s="157" t="s">
        <v>92</v>
      </c>
      <c r="B2" s="158"/>
      <c r="C2" s="91">
        <v>900</v>
      </c>
      <c r="D2" s="92">
        <f t="shared" ref="D2:D9" si="0">IF(C2&lt;=1000,C2*40%,IF(C2&gt;1000,C2*30%))</f>
        <v>360</v>
      </c>
      <c r="E2" s="93">
        <f t="shared" ref="E2:E9" si="1">SUM(C2:D2)</f>
        <v>1260</v>
      </c>
      <c r="F2" s="9"/>
      <c r="G2" s="6"/>
      <c r="H2" s="6"/>
      <c r="I2" s="6"/>
      <c r="J2" s="6"/>
      <c r="K2" s="6"/>
      <c r="L2" s="4"/>
      <c r="M2" s="22"/>
    </row>
    <row r="3" spans="1:13" ht="25.5" customHeight="1">
      <c r="A3" s="157" t="s">
        <v>93</v>
      </c>
      <c r="B3" s="158"/>
      <c r="C3" s="91">
        <v>1200</v>
      </c>
      <c r="D3" s="92">
        <f t="shared" si="0"/>
        <v>360</v>
      </c>
      <c r="E3" s="93">
        <f t="shared" si="1"/>
        <v>1560</v>
      </c>
      <c r="F3" s="8"/>
      <c r="G3" s="127" t="s">
        <v>94</v>
      </c>
      <c r="H3" s="94">
        <v>0.4</v>
      </c>
      <c r="I3" s="6"/>
      <c r="J3" s="6"/>
      <c r="K3" s="6"/>
      <c r="L3" s="4"/>
      <c r="M3" s="22"/>
    </row>
    <row r="4" spans="1:13" ht="15" customHeight="1">
      <c r="A4" s="157" t="s">
        <v>95</v>
      </c>
      <c r="B4" s="158"/>
      <c r="C4" s="91">
        <v>1500</v>
      </c>
      <c r="D4" s="92">
        <f t="shared" si="0"/>
        <v>450</v>
      </c>
      <c r="E4" s="93">
        <f t="shared" si="1"/>
        <v>1950</v>
      </c>
      <c r="F4" s="8"/>
      <c r="G4" s="127" t="s">
        <v>96</v>
      </c>
      <c r="H4" s="94">
        <v>0.3</v>
      </c>
      <c r="I4" s="6"/>
      <c r="J4" s="6"/>
      <c r="K4" s="6"/>
      <c r="L4" s="4"/>
      <c r="M4" s="22"/>
    </row>
    <row r="5" spans="1:13" ht="15" customHeight="1">
      <c r="A5" s="157" t="s">
        <v>97</v>
      </c>
      <c r="B5" s="158"/>
      <c r="C5" s="91">
        <v>2000</v>
      </c>
      <c r="D5" s="92">
        <f t="shared" si="0"/>
        <v>600</v>
      </c>
      <c r="E5" s="93">
        <f t="shared" si="1"/>
        <v>2600</v>
      </c>
      <c r="F5" s="8"/>
      <c r="G5" s="1"/>
      <c r="H5" s="1"/>
      <c r="I5" s="1"/>
      <c r="J5" s="1"/>
      <c r="K5" s="1"/>
      <c r="L5" s="4"/>
      <c r="M5" s="22"/>
    </row>
    <row r="6" spans="1:13" ht="15" customHeight="1">
      <c r="A6" s="157" t="s">
        <v>98</v>
      </c>
      <c r="B6" s="158"/>
      <c r="C6" s="91">
        <v>1400</v>
      </c>
      <c r="D6" s="92">
        <f t="shared" si="0"/>
        <v>420</v>
      </c>
      <c r="E6" s="93">
        <f t="shared" si="1"/>
        <v>1820</v>
      </c>
      <c r="F6" s="10"/>
      <c r="G6" s="11"/>
      <c r="H6" s="11"/>
      <c r="I6" s="11"/>
      <c r="J6" s="11"/>
      <c r="K6" s="11"/>
      <c r="L6" s="4"/>
      <c r="M6" s="22"/>
    </row>
    <row r="7" spans="1:13" ht="15" customHeight="1">
      <c r="A7" s="157" t="s">
        <v>99</v>
      </c>
      <c r="B7" s="158"/>
      <c r="C7" s="91">
        <v>990</v>
      </c>
      <c r="D7" s="92">
        <f t="shared" si="0"/>
        <v>396</v>
      </c>
      <c r="E7" s="93">
        <f t="shared" si="1"/>
        <v>1386</v>
      </c>
      <c r="F7" s="10"/>
      <c r="G7" s="11"/>
      <c r="H7" s="11"/>
      <c r="I7" s="11"/>
      <c r="J7" s="11"/>
      <c r="K7" s="11"/>
      <c r="L7" s="4"/>
      <c r="M7" s="22"/>
    </row>
    <row r="8" spans="1:13" ht="15" customHeight="1">
      <c r="A8" s="157" t="s">
        <v>100</v>
      </c>
      <c r="B8" s="158"/>
      <c r="C8" s="91">
        <v>854</v>
      </c>
      <c r="D8" s="92">
        <f t="shared" si="0"/>
        <v>341.6</v>
      </c>
      <c r="E8" s="93">
        <f t="shared" si="1"/>
        <v>1195.5999999999999</v>
      </c>
      <c r="F8" s="10"/>
      <c r="G8" s="11"/>
      <c r="H8" s="11"/>
      <c r="I8" s="11"/>
      <c r="J8" s="11"/>
      <c r="K8" s="11"/>
      <c r="L8" s="4"/>
      <c r="M8" s="22"/>
    </row>
    <row r="9" spans="1:13" ht="15" customHeight="1">
      <c r="A9" s="159" t="s">
        <v>101</v>
      </c>
      <c r="B9" s="160"/>
      <c r="C9" s="91">
        <v>1100</v>
      </c>
      <c r="D9" s="92">
        <f t="shared" si="0"/>
        <v>330</v>
      </c>
      <c r="E9" s="93">
        <f t="shared" si="1"/>
        <v>1430</v>
      </c>
      <c r="F9" s="10"/>
      <c r="G9" s="11"/>
      <c r="H9" s="11"/>
      <c r="I9" s="11"/>
      <c r="J9" s="11"/>
      <c r="K9" s="11"/>
      <c r="L9" s="4"/>
      <c r="M9" s="22"/>
    </row>
    <row r="10" spans="1:13">
      <c r="A10" s="22"/>
      <c r="B10" s="22"/>
      <c r="C10" s="22"/>
      <c r="D10" s="22"/>
      <c r="E10" s="22"/>
      <c r="F10" s="22"/>
      <c r="G10" s="22"/>
      <c r="H10" s="22"/>
      <c r="I10" s="4"/>
      <c r="J10" s="4"/>
      <c r="K10" s="4"/>
      <c r="L10" s="4"/>
      <c r="M10" s="22"/>
    </row>
    <row r="11" spans="1:13">
      <c r="A11" s="22"/>
      <c r="B11" s="22"/>
      <c r="C11" s="22"/>
      <c r="D11" s="22"/>
      <c r="E11" s="22"/>
      <c r="F11" s="22"/>
      <c r="G11" s="22"/>
      <c r="H11" s="22"/>
      <c r="I11" s="4"/>
      <c r="J11" s="4"/>
      <c r="K11" s="4"/>
      <c r="L11" s="4"/>
      <c r="M11" s="22"/>
    </row>
    <row r="21" spans="3:13" ht="15.75" customHeight="1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3:13" ht="15.75" customHeight="1"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3:13" ht="15.75" customHeight="1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3:13" ht="15.75" customHeight="1"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3:13" ht="15.75" customHeight="1"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3:13" ht="15.75" customHeight="1"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3:13" ht="15.75" customHeight="1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3:13" ht="15.75" customHeight="1"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3:13" ht="15.75" customHeight="1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3:13" ht="15.75" customHeight="1"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3:13" ht="15.75" customHeight="1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3:13" ht="15.75" customHeight="1"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3:13" ht="15.75" customHeight="1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3:13" ht="15.75" customHeight="1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3:13" ht="15.75" customHeight="1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3:13" ht="15.75" customHeight="1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3:13" ht="15.75" customHeight="1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3:13" ht="15.75" customHeight="1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3:13" ht="15.75" customHeight="1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3:13" ht="15.75" customHeight="1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3:13" ht="15.75" customHeight="1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3:13" ht="15.75" customHeight="1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3:13" ht="15.75" customHeight="1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3:13" ht="15.75" customHeight="1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3:13" ht="15.75" customHeight="1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3:13" ht="15.75" customHeight="1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3:13" ht="15.75" customHeight="1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3:13" ht="15.75" customHeight="1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spans="3:13" ht="15.75" customHeight="1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3:13" ht="15.75" customHeight="1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3:13" ht="15.75" customHeight="1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3:13" ht="15.75" customHeight="1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3:13" ht="15.75" customHeight="1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3:13" ht="15.75" customHeight="1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3:13" ht="15.75" customHeight="1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3:13" ht="15.75" customHeight="1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3:13" ht="15.75" customHeight="1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3:13" ht="15.75" customHeight="1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3:13" ht="15.75" customHeight="1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spans="3:13" ht="15.75" customHeight="1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3:13" ht="15.75" customHeight="1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3:13" ht="15.75" customHeight="1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3:13" ht="15.75" customHeight="1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3:13" ht="15.75" customHeight="1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3:13" ht="15.75" customHeight="1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3:13" ht="15.75" customHeight="1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3:13" ht="15.75" customHeight="1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3:13" ht="15.75" customHeight="1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3:13" ht="15.75" customHeight="1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3:13" ht="15.75" customHeight="1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3:13" ht="15.75" customHeight="1"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3:13" ht="15.75" customHeight="1"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3:13" ht="15.75" customHeight="1"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3:13" ht="15.75" customHeight="1"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3:13" ht="15.75" customHeight="1"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3:13" ht="15.75" customHeight="1"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3:13" ht="15.75" customHeight="1"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3:13" ht="15.75" customHeight="1"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3:13" ht="15.75" customHeight="1"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3:13" ht="15.75" customHeight="1"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3:13" ht="15.75" customHeight="1"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3:13" ht="15.75" customHeight="1"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3:13" ht="15.75" customHeight="1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3:13" ht="15.75" customHeight="1"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3:13" ht="15.75" customHeight="1"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spans="3:13" ht="15.75" customHeight="1"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3:13" ht="15.75" customHeight="1"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3:13" ht="15.75" customHeight="1"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3:13" ht="15.75" customHeight="1"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3:13" ht="15.75" customHeight="1"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3:13" ht="15.75" customHeight="1"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3:13" ht="15.75" customHeight="1"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3:13" ht="15.75" customHeight="1"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3:13" ht="15.75" customHeight="1"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3:13" ht="15.75" customHeight="1"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3:13" ht="15.75" customHeight="1"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3:13" ht="15.75" customHeight="1"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spans="3:13" ht="15.75" customHeight="1"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3:13" ht="15.75" customHeight="1"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spans="3:13" ht="15.75" customHeight="1"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</sheetData>
  <mergeCells count="9">
    <mergeCell ref="A1:B1"/>
    <mergeCell ref="A9:B9"/>
    <mergeCell ref="A8:B8"/>
    <mergeCell ref="A7:B7"/>
    <mergeCell ref="A6:B6"/>
    <mergeCell ref="A5:B5"/>
    <mergeCell ref="A2:B2"/>
    <mergeCell ref="A3:B3"/>
    <mergeCell ref="A4:B4"/>
  </mergeCells>
  <pageMargins left="0.511811024" right="0.511811024" top="0.78740157499999996" bottom="0.78740157499999996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"/>
  <sheetViews>
    <sheetView topLeftCell="A9" zoomScale="129" workbookViewId="0">
      <selection activeCell="D18" sqref="D18"/>
    </sheetView>
  </sheetViews>
  <sheetFormatPr defaultColWidth="14.42578125" defaultRowHeight="15" customHeight="1"/>
  <cols>
    <col min="1" max="1" width="8.7109375" customWidth="1"/>
    <col min="2" max="2" width="26.7109375" customWidth="1"/>
    <col min="3" max="3" width="17" customWidth="1"/>
    <col min="4" max="4" width="15.28515625" customWidth="1"/>
    <col min="5" max="5" width="7" customWidth="1"/>
    <col min="6" max="11" width="8.7109375" customWidth="1"/>
  </cols>
  <sheetData>
    <row r="1" spans="1:9" ht="15" customHeight="1">
      <c r="A1" s="129" t="s">
        <v>102</v>
      </c>
      <c r="B1" s="130" t="s">
        <v>103</v>
      </c>
      <c r="C1" s="130" t="s">
        <v>104</v>
      </c>
      <c r="D1" s="130" t="s">
        <v>105</v>
      </c>
      <c r="E1" s="130" t="s">
        <v>106</v>
      </c>
      <c r="F1" s="10"/>
      <c r="G1" s="121"/>
      <c r="H1" s="28"/>
      <c r="I1" s="22"/>
    </row>
    <row r="2" spans="1:9" ht="15" customHeight="1">
      <c r="A2" s="131" t="s">
        <v>107</v>
      </c>
      <c r="B2" s="95" t="s">
        <v>108</v>
      </c>
      <c r="C2" s="95" t="s">
        <v>109</v>
      </c>
      <c r="D2" s="95" t="s">
        <v>110</v>
      </c>
      <c r="E2" s="95" t="s">
        <v>111</v>
      </c>
      <c r="F2" s="10"/>
      <c r="G2" s="121"/>
      <c r="H2" s="28"/>
      <c r="I2" s="22"/>
    </row>
    <row r="3" spans="1:9" ht="15" customHeight="1">
      <c r="A3" s="131" t="s">
        <v>112</v>
      </c>
      <c r="B3" s="95" t="s">
        <v>113</v>
      </c>
      <c r="C3" s="95" t="s">
        <v>114</v>
      </c>
      <c r="D3" s="95" t="s">
        <v>115</v>
      </c>
      <c r="E3" s="95" t="s">
        <v>111</v>
      </c>
      <c r="F3" s="10"/>
      <c r="G3" s="121"/>
      <c r="H3" s="28"/>
      <c r="I3" s="22"/>
    </row>
    <row r="4" spans="1:9" ht="15" customHeight="1">
      <c r="A4" s="131" t="s">
        <v>116</v>
      </c>
      <c r="B4" s="95" t="s">
        <v>117</v>
      </c>
      <c r="C4" s="95" t="s">
        <v>109</v>
      </c>
      <c r="D4" s="95" t="s">
        <v>118</v>
      </c>
      <c r="E4" s="95" t="s">
        <v>119</v>
      </c>
      <c r="F4" s="10"/>
      <c r="G4" s="121"/>
      <c r="H4" s="28"/>
      <c r="I4" s="22"/>
    </row>
    <row r="5" spans="1:9" ht="15" customHeight="1">
      <c r="A5" s="131" t="s">
        <v>120</v>
      </c>
      <c r="B5" s="95" t="s">
        <v>121</v>
      </c>
      <c r="C5" s="95" t="s">
        <v>122</v>
      </c>
      <c r="D5" s="95" t="s">
        <v>123</v>
      </c>
      <c r="E5" s="95" t="s">
        <v>111</v>
      </c>
      <c r="F5" s="10"/>
      <c r="G5" s="121"/>
      <c r="H5" s="28"/>
      <c r="I5" s="22"/>
    </row>
    <row r="6" spans="1:9" ht="15" customHeight="1">
      <c r="A6" s="131" t="s">
        <v>124</v>
      </c>
      <c r="B6" s="95" t="s">
        <v>125</v>
      </c>
      <c r="C6" s="95" t="s">
        <v>126</v>
      </c>
      <c r="D6" s="95" t="s">
        <v>127</v>
      </c>
      <c r="E6" s="95" t="s">
        <v>111</v>
      </c>
      <c r="F6" s="10"/>
      <c r="G6" s="121"/>
      <c r="H6" s="28"/>
      <c r="I6" s="22"/>
    </row>
    <row r="7" spans="1:9" ht="15" customHeight="1">
      <c r="A7" s="131" t="s">
        <v>128</v>
      </c>
      <c r="B7" s="95" t="s">
        <v>129</v>
      </c>
      <c r="C7" s="95" t="s">
        <v>109</v>
      </c>
      <c r="D7" s="95" t="s">
        <v>130</v>
      </c>
      <c r="E7" s="95" t="s">
        <v>131</v>
      </c>
      <c r="F7" s="10"/>
      <c r="G7" s="121"/>
      <c r="H7" s="28"/>
      <c r="I7" s="22"/>
    </row>
    <row r="8" spans="1:9" ht="15" customHeight="1">
      <c r="A8" s="131" t="s">
        <v>132</v>
      </c>
      <c r="B8" s="95" t="s">
        <v>133</v>
      </c>
      <c r="C8" s="95" t="s">
        <v>134</v>
      </c>
      <c r="D8" s="95" t="s">
        <v>135</v>
      </c>
      <c r="E8" s="95" t="s">
        <v>111</v>
      </c>
      <c r="F8" s="10"/>
      <c r="G8" s="121"/>
      <c r="H8" s="28"/>
      <c r="I8" s="22"/>
    </row>
    <row r="9" spans="1:9" ht="15" customHeight="1">
      <c r="A9" s="131" t="s">
        <v>136</v>
      </c>
      <c r="B9" s="95" t="s">
        <v>137</v>
      </c>
      <c r="C9" s="95" t="s">
        <v>138</v>
      </c>
      <c r="D9" s="95" t="s">
        <v>139</v>
      </c>
      <c r="E9" s="95" t="s">
        <v>111</v>
      </c>
      <c r="F9" s="10"/>
      <c r="G9" s="121"/>
      <c r="H9" s="28"/>
      <c r="I9" s="22"/>
    </row>
    <row r="10" spans="1:9" ht="15" customHeight="1">
      <c r="A10" s="131" t="s">
        <v>140</v>
      </c>
      <c r="B10" s="95" t="s">
        <v>141</v>
      </c>
      <c r="C10" s="95" t="s">
        <v>142</v>
      </c>
      <c r="D10" s="95" t="s">
        <v>143</v>
      </c>
      <c r="E10" s="95" t="s">
        <v>144</v>
      </c>
      <c r="F10" s="10"/>
      <c r="G10" s="121"/>
      <c r="H10" s="28"/>
      <c r="I10" s="22"/>
    </row>
    <row r="11" spans="1:9" ht="15" customHeight="1">
      <c r="A11" s="131" t="s">
        <v>145</v>
      </c>
      <c r="B11" s="95" t="s">
        <v>146</v>
      </c>
      <c r="C11" s="95" t="s">
        <v>147</v>
      </c>
      <c r="D11" s="95" t="s">
        <v>148</v>
      </c>
      <c r="E11" s="95" t="s">
        <v>149</v>
      </c>
      <c r="F11" s="10"/>
      <c r="G11" s="121"/>
      <c r="H11" s="28"/>
      <c r="I11" s="22"/>
    </row>
    <row r="12" spans="1:9" ht="15" customHeight="1">
      <c r="A12" s="131" t="s">
        <v>150</v>
      </c>
      <c r="B12" s="95" t="s">
        <v>151</v>
      </c>
      <c r="C12" s="95" t="s">
        <v>152</v>
      </c>
      <c r="D12" s="95" t="s">
        <v>115</v>
      </c>
      <c r="E12" s="95" t="s">
        <v>111</v>
      </c>
      <c r="F12" s="10"/>
      <c r="G12" s="121"/>
      <c r="H12" s="28"/>
      <c r="I12" s="22"/>
    </row>
    <row r="13" spans="1:9" ht="15" customHeight="1">
      <c r="A13" s="131" t="s">
        <v>153</v>
      </c>
      <c r="B13" s="95" t="s">
        <v>154</v>
      </c>
      <c r="C13" s="95" t="s">
        <v>109</v>
      </c>
      <c r="D13" s="95" t="s">
        <v>155</v>
      </c>
      <c r="E13" s="95" t="s">
        <v>156</v>
      </c>
      <c r="F13" s="10"/>
      <c r="G13" s="121"/>
      <c r="H13" s="28"/>
      <c r="I13" s="22"/>
    </row>
    <row r="14" spans="1:9" ht="15" customHeight="1">
      <c r="A14" s="131" t="s">
        <v>157</v>
      </c>
      <c r="B14" s="95" t="s">
        <v>158</v>
      </c>
      <c r="C14" s="95" t="s">
        <v>159</v>
      </c>
      <c r="D14" s="95" t="s">
        <v>160</v>
      </c>
      <c r="E14" s="95" t="s">
        <v>161</v>
      </c>
      <c r="F14" s="10"/>
      <c r="G14" s="121"/>
      <c r="H14" s="28"/>
      <c r="I14" s="22"/>
    </row>
    <row r="15" spans="1:9" ht="15" customHeight="1">
      <c r="A15" s="131" t="s">
        <v>162</v>
      </c>
      <c r="B15" s="95" t="s">
        <v>163</v>
      </c>
      <c r="C15" s="95" t="s">
        <v>164</v>
      </c>
      <c r="D15" s="95" t="s">
        <v>165</v>
      </c>
      <c r="E15" s="95" t="s">
        <v>166</v>
      </c>
      <c r="F15" s="10"/>
      <c r="G15" s="121"/>
      <c r="H15" s="28"/>
      <c r="I15" s="22"/>
    </row>
    <row r="16" spans="1:9" ht="14.45">
      <c r="A16" s="12"/>
      <c r="B16" s="12"/>
      <c r="C16" s="12"/>
      <c r="D16" s="12"/>
      <c r="E16" s="12"/>
      <c r="F16" s="6"/>
      <c r="G16" s="122"/>
      <c r="H16" s="28"/>
      <c r="I16" s="22"/>
    </row>
    <row r="17" spans="1:9" ht="15" customHeight="1">
      <c r="A17" s="49" t="s">
        <v>88</v>
      </c>
      <c r="B17" s="132" t="s">
        <v>167</v>
      </c>
      <c r="C17" s="10"/>
      <c r="D17" s="11"/>
      <c r="E17" s="11"/>
      <c r="F17" s="11"/>
      <c r="G17" s="121"/>
      <c r="H17" s="28"/>
      <c r="I17" s="22"/>
    </row>
    <row r="18" spans="1:9">
      <c r="A18" s="49" t="s">
        <v>168</v>
      </c>
      <c r="B18" s="96" t="str">
        <f>VLOOKUP($A$13,$A$2:$E$15,2,TRUE)</f>
        <v>Al. dos Laranjais, 99</v>
      </c>
      <c r="C18" s="10"/>
      <c r="D18" s="11"/>
      <c r="E18" s="11"/>
      <c r="F18" s="11"/>
      <c r="G18" s="121"/>
      <c r="H18" s="28"/>
      <c r="I18" s="22"/>
    </row>
    <row r="19" spans="1:9">
      <c r="A19" s="49" t="s">
        <v>169</v>
      </c>
      <c r="B19" s="96" t="str">
        <f>VLOOKUP($A$13,$A$2:$E$15,3,TRUE)</f>
        <v>Centro</v>
      </c>
      <c r="C19" s="10"/>
      <c r="D19" s="11"/>
      <c r="E19" s="11"/>
      <c r="F19" s="11"/>
      <c r="G19" s="121"/>
      <c r="H19" s="28"/>
      <c r="I19" s="22"/>
    </row>
    <row r="20" spans="1:9">
      <c r="A20" s="49" t="s">
        <v>170</v>
      </c>
      <c r="B20" s="96" t="str">
        <f>VLOOKUP($A$13,$A$2:$E$15,4,TRUE)</f>
        <v>Rio de Janeiro</v>
      </c>
      <c r="C20" s="10"/>
      <c r="D20" s="11"/>
      <c r="E20" s="11"/>
      <c r="F20" s="11"/>
      <c r="G20" s="121"/>
      <c r="H20" s="28"/>
      <c r="I20" s="22"/>
    </row>
    <row r="21" spans="1:9" ht="15.75" customHeight="1">
      <c r="A21" s="49" t="s">
        <v>171</v>
      </c>
      <c r="B21" s="96" t="str">
        <f>VLOOKUP($A$13,$A$2:$E$15,5,TRUE)</f>
        <v>RJ</v>
      </c>
      <c r="C21" s="10"/>
      <c r="D21" s="11"/>
      <c r="E21" s="11"/>
      <c r="F21" s="11"/>
      <c r="G21" s="121"/>
      <c r="H21" s="28"/>
      <c r="I21" s="22"/>
    </row>
    <row r="22" spans="1:9" ht="15.75" customHeight="1">
      <c r="A22" s="22"/>
      <c r="B22" s="22"/>
      <c r="C22" s="22"/>
      <c r="D22" s="22"/>
      <c r="E22" s="22"/>
      <c r="F22" s="22"/>
      <c r="G22" s="28"/>
      <c r="H22" s="28"/>
      <c r="I22" s="22"/>
    </row>
    <row r="23" spans="1:9" ht="15.75" customHeight="1">
      <c r="A23" s="22"/>
      <c r="B23" s="22"/>
      <c r="C23" s="22"/>
      <c r="D23" s="22"/>
      <c r="E23" s="22"/>
      <c r="F23" s="22"/>
      <c r="G23" s="28"/>
      <c r="H23" s="28"/>
      <c r="I23" s="22"/>
    </row>
    <row r="24" spans="1:9" ht="15.75" customHeight="1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5.75" customHeight="1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5.75" customHeight="1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5.75" customHeight="1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5.75" customHeight="1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5.75" customHeight="1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5.75" customHeight="1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5.7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5.75" customHeight="1">
      <c r="A32" s="22"/>
      <c r="B32" s="22"/>
      <c r="C32" s="22"/>
      <c r="D32" s="22"/>
      <c r="E32" s="22"/>
      <c r="F32" s="22"/>
      <c r="G32" s="22"/>
      <c r="H32" s="22"/>
      <c r="I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"/>
  <sheetViews>
    <sheetView workbookViewId="0">
      <selection activeCell="J13" sqref="J13"/>
    </sheetView>
  </sheetViews>
  <sheetFormatPr defaultColWidth="14.42578125" defaultRowHeight="15" customHeight="1"/>
  <cols>
    <col min="1" max="1" width="8.7109375" customWidth="1"/>
    <col min="2" max="2" width="12.7109375" customWidth="1"/>
    <col min="3" max="3" width="12.42578125" customWidth="1"/>
    <col min="4" max="4" width="12.140625" customWidth="1"/>
    <col min="5" max="5" width="11.7109375" customWidth="1"/>
    <col min="6" max="6" width="16.85546875" customWidth="1"/>
    <col min="7" max="11" width="8.7109375" customWidth="1"/>
  </cols>
  <sheetData>
    <row r="1" spans="1:8" ht="14.45">
      <c r="A1" s="3"/>
      <c r="B1" s="106" t="s">
        <v>172</v>
      </c>
      <c r="C1" s="106" t="s">
        <v>173</v>
      </c>
      <c r="D1" s="106" t="s">
        <v>174</v>
      </c>
      <c r="E1" s="106" t="s">
        <v>175</v>
      </c>
      <c r="F1" s="106" t="s">
        <v>176</v>
      </c>
      <c r="G1" s="167"/>
      <c r="H1" s="168"/>
    </row>
    <row r="2" spans="1:8" ht="15" customHeight="1">
      <c r="A2" s="105">
        <v>1</v>
      </c>
      <c r="B2" s="169" t="s">
        <v>177</v>
      </c>
      <c r="C2" s="170"/>
      <c r="D2" s="170"/>
      <c r="E2" s="170"/>
      <c r="F2" s="171"/>
      <c r="G2" s="11"/>
      <c r="H2" s="11"/>
    </row>
    <row r="3" spans="1:8" ht="14.45">
      <c r="A3" s="105">
        <v>2</v>
      </c>
      <c r="B3" s="172"/>
      <c r="C3" s="173"/>
      <c r="D3" s="173"/>
      <c r="E3" s="173"/>
      <c r="F3" s="141"/>
      <c r="G3" s="11"/>
      <c r="H3" s="11"/>
    </row>
    <row r="4" spans="1:8" ht="15" customHeight="1">
      <c r="A4" s="105">
        <v>3</v>
      </c>
      <c r="B4" s="174" t="s">
        <v>178</v>
      </c>
      <c r="C4" s="175"/>
      <c r="D4" s="175"/>
      <c r="E4" s="175"/>
      <c r="F4" s="176"/>
      <c r="G4" s="11"/>
      <c r="H4" s="11"/>
    </row>
    <row r="5" spans="1:8" ht="14.45">
      <c r="A5" s="105">
        <v>4</v>
      </c>
      <c r="B5" s="172"/>
      <c r="C5" s="173"/>
      <c r="D5" s="173"/>
      <c r="E5" s="173"/>
      <c r="F5" s="141"/>
      <c r="G5" s="11"/>
      <c r="H5" s="11"/>
    </row>
    <row r="6" spans="1:8" ht="15" customHeight="1">
      <c r="A6" s="105">
        <v>5</v>
      </c>
      <c r="B6" s="161" t="s">
        <v>179</v>
      </c>
      <c r="C6" s="162"/>
      <c r="D6" s="162"/>
      <c r="E6" s="162"/>
      <c r="F6" s="163"/>
      <c r="G6" s="13"/>
      <c r="H6" s="13"/>
    </row>
    <row r="7" spans="1:8">
      <c r="A7" s="105">
        <v>6</v>
      </c>
      <c r="B7" s="164"/>
      <c r="C7" s="165"/>
      <c r="D7" s="165"/>
      <c r="E7" s="165"/>
      <c r="F7" s="166"/>
      <c r="G7" s="13"/>
      <c r="H7" s="13"/>
    </row>
    <row r="8" spans="1:8" ht="15" customHeight="1">
      <c r="A8" s="105">
        <v>7</v>
      </c>
      <c r="B8" s="3"/>
      <c r="C8" s="101" t="s">
        <v>180</v>
      </c>
      <c r="D8" s="102" t="s">
        <v>181</v>
      </c>
      <c r="E8" s="103" t="s">
        <v>182</v>
      </c>
      <c r="F8" s="104" t="s">
        <v>183</v>
      </c>
      <c r="G8" s="14"/>
      <c r="H8" s="14"/>
    </row>
    <row r="9" spans="1:8" ht="15" customHeight="1">
      <c r="A9" s="105">
        <v>8</v>
      </c>
      <c r="B9" s="133" t="s">
        <v>184</v>
      </c>
      <c r="C9" s="100">
        <v>24000</v>
      </c>
      <c r="D9" s="97">
        <v>22980</v>
      </c>
      <c r="E9" s="99">
        <v>23900.799999999999</v>
      </c>
      <c r="F9" s="98">
        <v>23000</v>
      </c>
      <c r="G9" s="14"/>
      <c r="H9" s="14"/>
    </row>
    <row r="10" spans="1:8" ht="15" customHeight="1">
      <c r="A10" s="105">
        <v>9</v>
      </c>
      <c r="B10" s="133" t="s">
        <v>185</v>
      </c>
      <c r="C10" s="100">
        <v>24120</v>
      </c>
      <c r="D10" s="97">
        <v>23014</v>
      </c>
      <c r="E10" s="99">
        <v>24019</v>
      </c>
      <c r="F10" s="98">
        <v>23115</v>
      </c>
      <c r="G10" s="14"/>
      <c r="H10" s="14"/>
    </row>
    <row r="11" spans="1:8" ht="15" customHeight="1">
      <c r="A11" s="105">
        <v>10</v>
      </c>
      <c r="B11" s="133" t="s">
        <v>186</v>
      </c>
      <c r="C11" s="100">
        <v>24240</v>
      </c>
      <c r="D11" s="97">
        <v>23129.57</v>
      </c>
      <c r="E11" s="99">
        <v>24139.599999999999</v>
      </c>
      <c r="F11" s="98">
        <v>23230.58</v>
      </c>
      <c r="G11" s="14"/>
      <c r="H11" s="14"/>
    </row>
    <row r="12" spans="1:8" ht="15" customHeight="1">
      <c r="A12" s="105">
        <v>11</v>
      </c>
      <c r="B12" s="133" t="s">
        <v>187</v>
      </c>
      <c r="C12" s="100">
        <v>24361</v>
      </c>
      <c r="D12" s="97">
        <v>23254</v>
      </c>
      <c r="E12" s="99">
        <v>24260</v>
      </c>
      <c r="F12" s="98">
        <v>23346.73</v>
      </c>
      <c r="G12" s="14"/>
      <c r="H12" s="14"/>
    </row>
    <row r="13" spans="1:8" ht="15" customHeight="1">
      <c r="A13" s="105">
        <v>12</v>
      </c>
      <c r="B13" s="133" t="s">
        <v>188</v>
      </c>
      <c r="C13" s="100">
        <v>24483.61</v>
      </c>
      <c r="D13" s="97">
        <v>23361.45</v>
      </c>
      <c r="E13" s="99">
        <v>24381.599999999999</v>
      </c>
      <c r="F13" s="98">
        <v>23463.46</v>
      </c>
      <c r="G13" s="14"/>
      <c r="H13" s="14"/>
    </row>
    <row r="14" spans="1:8" ht="15" customHeight="1">
      <c r="A14" s="15"/>
      <c r="B14" s="89"/>
      <c r="C14" s="16"/>
      <c r="D14" s="16"/>
      <c r="E14" s="16"/>
      <c r="F14" s="16"/>
      <c r="G14" s="14"/>
      <c r="H14" s="14"/>
    </row>
    <row r="15" spans="1:8" ht="15" customHeight="1">
      <c r="A15" s="15"/>
      <c r="B15" s="89"/>
      <c r="C15" s="17"/>
      <c r="D15" s="17"/>
      <c r="E15" s="17"/>
      <c r="F15" s="17"/>
      <c r="G15" s="14"/>
      <c r="H15" s="14"/>
    </row>
    <row r="16" spans="1:8" ht="15" customHeight="1">
      <c r="A16" s="18"/>
      <c r="B16" s="27"/>
      <c r="C16" s="28"/>
      <c r="D16" s="22"/>
      <c r="E16" s="22"/>
      <c r="F16" s="22"/>
      <c r="G16" s="22"/>
      <c r="H16" s="22"/>
    </row>
    <row r="17" spans="1:3" ht="14.45">
      <c r="A17" s="18"/>
      <c r="B17" s="27"/>
      <c r="C17" s="28"/>
    </row>
    <row r="18" spans="1:3" ht="14.45">
      <c r="A18" s="18"/>
      <c r="B18" s="27"/>
      <c r="C18" s="28"/>
    </row>
    <row r="19" spans="1:3" ht="14.45">
      <c r="A19" s="18"/>
      <c r="B19" s="27"/>
      <c r="C19" s="28"/>
    </row>
    <row r="20" spans="1:3" ht="14.45">
      <c r="A20" s="18"/>
      <c r="B20" s="27"/>
      <c r="C20" s="28"/>
    </row>
    <row r="21" spans="1:3" ht="15.75" customHeight="1">
      <c r="A21" s="22"/>
      <c r="B21" s="22"/>
      <c r="C21" s="22"/>
    </row>
    <row r="22" spans="1:3" ht="15.75" customHeight="1">
      <c r="A22" s="22"/>
      <c r="B22" s="22"/>
      <c r="C22" s="22"/>
    </row>
    <row r="23" spans="1:3" ht="15.75" customHeight="1">
      <c r="A23" s="22"/>
      <c r="B23" s="22"/>
      <c r="C23" s="22"/>
    </row>
    <row r="24" spans="1:3" ht="15.75" customHeight="1">
      <c r="A24" s="22"/>
      <c r="B24" s="22"/>
      <c r="C24" s="22"/>
    </row>
    <row r="25" spans="1:3" ht="15.75" customHeight="1">
      <c r="A25" s="22"/>
      <c r="B25" s="22"/>
      <c r="C25" s="22"/>
    </row>
    <row r="26" spans="1:3" ht="15.75" customHeight="1">
      <c r="A26" s="22"/>
      <c r="B26" s="22"/>
      <c r="C26" s="22"/>
    </row>
    <row r="27" spans="1:3" ht="15.75" customHeight="1">
      <c r="A27" s="22"/>
      <c r="B27" s="22"/>
      <c r="C27" s="22"/>
    </row>
    <row r="28" spans="1:3" ht="15.75" customHeight="1">
      <c r="A28" s="22"/>
      <c r="B28" s="22"/>
      <c r="C28" s="22"/>
    </row>
    <row r="29" spans="1:3" ht="15.75" customHeight="1">
      <c r="A29" s="22"/>
      <c r="B29" s="22"/>
      <c r="C29" s="22"/>
    </row>
    <row r="30" spans="1:3" ht="15.75" customHeight="1">
      <c r="A30" s="22"/>
      <c r="B30" s="22"/>
      <c r="C30" s="22"/>
    </row>
    <row r="31" spans="1:3" ht="15.75" customHeight="1">
      <c r="A31" s="22"/>
      <c r="B31" s="22"/>
      <c r="C31" s="22"/>
    </row>
    <row r="32" spans="1:3" ht="15.75" customHeight="1">
      <c r="A32" s="22"/>
      <c r="B32" s="22"/>
      <c r="C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6:F7"/>
    <mergeCell ref="G1:H1"/>
    <mergeCell ref="B2:F2"/>
    <mergeCell ref="B3:F3"/>
    <mergeCell ref="B4:F4"/>
    <mergeCell ref="B5:F5"/>
  </mergeCells>
  <pageMargins left="0.511811024" right="0.511811024" top="0.78740157499999996" bottom="0.78740157499999996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zoomScale="133" workbookViewId="0">
      <selection activeCell="G12" sqref="G12"/>
    </sheetView>
  </sheetViews>
  <sheetFormatPr defaultColWidth="14.42578125" defaultRowHeight="15" customHeight="1"/>
  <cols>
    <col min="1" max="1" width="13.85546875" customWidth="1"/>
    <col min="2" max="2" width="8.7109375" customWidth="1"/>
    <col min="3" max="4" width="8.85546875" bestFit="1" customWidth="1"/>
    <col min="5" max="5" width="12" customWidth="1"/>
    <col min="6" max="7" width="8.7109375" customWidth="1"/>
    <col min="8" max="8" width="10.140625" customWidth="1"/>
    <col min="9" max="11" width="8.7109375" customWidth="1"/>
  </cols>
  <sheetData>
    <row r="1" spans="1:8" ht="14.45">
      <c r="A1" s="117" t="s">
        <v>189</v>
      </c>
      <c r="B1" s="115">
        <v>0.125</v>
      </c>
      <c r="C1" s="19"/>
      <c r="D1" s="20"/>
      <c r="E1" s="20"/>
      <c r="F1" s="20"/>
      <c r="G1" s="20"/>
      <c r="H1" s="20"/>
    </row>
    <row r="2" spans="1:8" ht="14.45">
      <c r="A2" s="117" t="s">
        <v>190</v>
      </c>
      <c r="B2" s="116">
        <v>3.34</v>
      </c>
      <c r="C2" s="19"/>
      <c r="D2" s="20"/>
      <c r="E2" s="20"/>
      <c r="F2" s="20"/>
      <c r="G2" s="20"/>
      <c r="H2" s="20"/>
    </row>
    <row r="3" spans="1:8">
      <c r="A3" s="5"/>
      <c r="B3" s="5"/>
      <c r="C3" s="1"/>
      <c r="D3" s="1"/>
      <c r="E3" s="1"/>
      <c r="F3" s="1"/>
      <c r="G3" s="1"/>
      <c r="H3" s="1"/>
    </row>
    <row r="4" spans="1:8">
      <c r="A4" s="1"/>
      <c r="B4" s="21"/>
      <c r="C4" s="177" t="s">
        <v>191</v>
      </c>
      <c r="D4" s="178"/>
      <c r="E4" s="179"/>
      <c r="F4" s="177" t="s">
        <v>192</v>
      </c>
      <c r="G4" s="178"/>
      <c r="H4" s="179"/>
    </row>
    <row r="5" spans="1:8">
      <c r="A5" s="134" t="s">
        <v>1</v>
      </c>
      <c r="B5" s="107" t="s">
        <v>193</v>
      </c>
      <c r="C5" s="107" t="s">
        <v>194</v>
      </c>
      <c r="D5" s="107" t="s">
        <v>195</v>
      </c>
      <c r="E5" s="107" t="s">
        <v>196</v>
      </c>
      <c r="F5" s="107" t="s">
        <v>194</v>
      </c>
      <c r="G5" s="107" t="s">
        <v>195</v>
      </c>
      <c r="H5" s="107" t="s">
        <v>196</v>
      </c>
    </row>
    <row r="6" spans="1:8">
      <c r="A6" s="134" t="s">
        <v>197</v>
      </c>
      <c r="B6" s="108">
        <v>500</v>
      </c>
      <c r="C6" s="109">
        <v>0.5</v>
      </c>
      <c r="D6" s="109">
        <v>0.55000000000000004</v>
      </c>
      <c r="E6" s="110">
        <f>D6*B6</f>
        <v>275</v>
      </c>
      <c r="F6" s="111">
        <f>C6/$B$2</f>
        <v>0.14970059880239522</v>
      </c>
      <c r="G6" s="111">
        <f>F6*(1+$B$1)</f>
        <v>0.16841317365269462</v>
      </c>
      <c r="H6" s="111">
        <f>G6*B6</f>
        <v>84.206586826347305</v>
      </c>
    </row>
    <row r="7" spans="1:8">
      <c r="A7" s="134" t="s">
        <v>198</v>
      </c>
      <c r="B7" s="108">
        <v>200</v>
      </c>
      <c r="C7" s="109">
        <v>2.57</v>
      </c>
      <c r="D7" s="109">
        <v>2.7</v>
      </c>
      <c r="E7" s="110">
        <f t="shared" ref="E7:E18" si="0">D7*B7</f>
        <v>540</v>
      </c>
      <c r="F7" s="111">
        <f>C7/$B$2</f>
        <v>0.76946107784431139</v>
      </c>
      <c r="G7" s="111">
        <f t="shared" ref="G7:G17" si="1">F7*(1+$B$1)</f>
        <v>0.86564371257485029</v>
      </c>
      <c r="H7" s="111">
        <f t="shared" ref="H7:H17" si="2">G7*B7</f>
        <v>173.12874251497007</v>
      </c>
    </row>
    <row r="8" spans="1:8">
      <c r="A8" s="134" t="s">
        <v>199</v>
      </c>
      <c r="B8" s="108">
        <v>300</v>
      </c>
      <c r="C8" s="109">
        <v>5</v>
      </c>
      <c r="D8" s="109">
        <v>5.5</v>
      </c>
      <c r="E8" s="110">
        <f t="shared" si="0"/>
        <v>1650</v>
      </c>
      <c r="F8" s="111">
        <f>C8/$B$2</f>
        <v>1.4970059880239521</v>
      </c>
      <c r="G8" s="111">
        <f t="shared" si="1"/>
        <v>1.6841317365269461</v>
      </c>
      <c r="H8" s="111">
        <f t="shared" si="2"/>
        <v>505.23952095808386</v>
      </c>
    </row>
    <row r="9" spans="1:8">
      <c r="A9" s="134" t="s">
        <v>200</v>
      </c>
      <c r="B9" s="108">
        <v>1000</v>
      </c>
      <c r="C9" s="109">
        <v>0.15</v>
      </c>
      <c r="D9" s="109">
        <v>0.25</v>
      </c>
      <c r="E9" s="110">
        <f t="shared" si="0"/>
        <v>250</v>
      </c>
      <c r="F9" s="111">
        <f t="shared" ref="F7:F17" si="3">C9/$B$2</f>
        <v>4.4910179640718563E-2</v>
      </c>
      <c r="G9" s="111">
        <f t="shared" si="1"/>
        <v>5.0523952095808386E-2</v>
      </c>
      <c r="H9" s="111">
        <f t="shared" si="2"/>
        <v>50.523952095808383</v>
      </c>
    </row>
    <row r="10" spans="1:8">
      <c r="A10" s="134" t="s">
        <v>201</v>
      </c>
      <c r="B10" s="108">
        <v>1000</v>
      </c>
      <c r="C10" s="109">
        <v>0.15</v>
      </c>
      <c r="D10" s="109">
        <v>0.25</v>
      </c>
      <c r="E10" s="110">
        <f t="shared" si="0"/>
        <v>250</v>
      </c>
      <c r="F10" s="111">
        <f t="shared" si="3"/>
        <v>4.4910179640718563E-2</v>
      </c>
      <c r="G10" s="111">
        <f t="shared" si="1"/>
        <v>5.0523952095808386E-2</v>
      </c>
      <c r="H10" s="111">
        <f t="shared" si="2"/>
        <v>50.523952095808383</v>
      </c>
    </row>
    <row r="11" spans="1:8">
      <c r="A11" s="134" t="s">
        <v>202</v>
      </c>
      <c r="B11" s="108">
        <v>200</v>
      </c>
      <c r="C11" s="109">
        <v>3</v>
      </c>
      <c r="D11" s="109">
        <v>3.5</v>
      </c>
      <c r="E11" s="110">
        <f t="shared" si="0"/>
        <v>700</v>
      </c>
      <c r="F11" s="111">
        <f t="shared" si="3"/>
        <v>0.89820359281437134</v>
      </c>
      <c r="G11" s="111">
        <f t="shared" si="1"/>
        <v>1.0104790419161678</v>
      </c>
      <c r="H11" s="111">
        <f t="shared" si="2"/>
        <v>202.09580838323356</v>
      </c>
    </row>
    <row r="12" spans="1:8">
      <c r="A12" s="134" t="s">
        <v>203</v>
      </c>
      <c r="B12" s="108">
        <v>500</v>
      </c>
      <c r="C12" s="109">
        <v>0.25</v>
      </c>
      <c r="D12" s="109">
        <v>0.3</v>
      </c>
      <c r="E12" s="110">
        <f t="shared" si="0"/>
        <v>150</v>
      </c>
      <c r="F12" s="111">
        <f t="shared" si="3"/>
        <v>7.4850299401197612E-2</v>
      </c>
      <c r="G12" s="111">
        <f t="shared" si="1"/>
        <v>8.420658682634731E-2</v>
      </c>
      <c r="H12" s="111">
        <f t="shared" si="2"/>
        <v>42.103293413173652</v>
      </c>
    </row>
    <row r="13" spans="1:8">
      <c r="A13" s="134" t="s">
        <v>204</v>
      </c>
      <c r="B13" s="108">
        <v>500</v>
      </c>
      <c r="C13" s="109">
        <v>0.35</v>
      </c>
      <c r="D13" s="109">
        <v>0.45</v>
      </c>
      <c r="E13" s="110">
        <f t="shared" si="0"/>
        <v>225</v>
      </c>
      <c r="F13" s="111">
        <f t="shared" si="3"/>
        <v>0.10479041916167664</v>
      </c>
      <c r="G13" s="111">
        <f t="shared" si="1"/>
        <v>0.11788922155688622</v>
      </c>
      <c r="H13" s="111">
        <f t="shared" si="2"/>
        <v>58.944610778443113</v>
      </c>
    </row>
    <row r="14" spans="1:8">
      <c r="A14" s="134" t="s">
        <v>205</v>
      </c>
      <c r="B14" s="108">
        <v>50</v>
      </c>
      <c r="C14" s="109">
        <v>6</v>
      </c>
      <c r="D14" s="109">
        <v>6.5</v>
      </c>
      <c r="E14" s="110">
        <f t="shared" si="0"/>
        <v>325</v>
      </c>
      <c r="F14" s="111">
        <f t="shared" si="3"/>
        <v>1.7964071856287427</v>
      </c>
      <c r="G14" s="111">
        <f t="shared" si="1"/>
        <v>2.0209580838323356</v>
      </c>
      <c r="H14" s="111">
        <f t="shared" si="2"/>
        <v>101.04790419161678</v>
      </c>
    </row>
    <row r="15" spans="1:8">
      <c r="A15" s="134" t="s">
        <v>206</v>
      </c>
      <c r="B15" s="108">
        <v>100</v>
      </c>
      <c r="C15" s="109">
        <v>3.14</v>
      </c>
      <c r="D15" s="109">
        <v>4</v>
      </c>
      <c r="E15" s="110">
        <f t="shared" si="0"/>
        <v>400</v>
      </c>
      <c r="F15" s="111">
        <f t="shared" si="3"/>
        <v>0.940119760479042</v>
      </c>
      <c r="G15" s="111">
        <f t="shared" si="1"/>
        <v>1.0576347305389222</v>
      </c>
      <c r="H15" s="111">
        <f t="shared" si="2"/>
        <v>105.76347305389223</v>
      </c>
    </row>
    <row r="16" spans="1:8">
      <c r="A16" s="134" t="s">
        <v>207</v>
      </c>
      <c r="B16" s="108">
        <v>100</v>
      </c>
      <c r="C16" s="109">
        <v>5.68</v>
      </c>
      <c r="D16" s="109">
        <v>6</v>
      </c>
      <c r="E16" s="110">
        <f t="shared" si="0"/>
        <v>600</v>
      </c>
      <c r="F16" s="111">
        <f t="shared" si="3"/>
        <v>1.7005988023952097</v>
      </c>
      <c r="G16" s="111">
        <f t="shared" si="1"/>
        <v>1.9131736526946108</v>
      </c>
      <c r="H16" s="111">
        <f t="shared" si="2"/>
        <v>191.31736526946108</v>
      </c>
    </row>
    <row r="17" spans="1:8">
      <c r="A17" s="135" t="s">
        <v>15</v>
      </c>
      <c r="B17" s="112">
        <f>SUM(B6:B16)</f>
        <v>4450</v>
      </c>
      <c r="C17" s="113">
        <f t="shared" ref="C17:H17" si="4">SUM(C6:C16)</f>
        <v>26.79</v>
      </c>
      <c r="D17" s="119">
        <f t="shared" si="4"/>
        <v>30</v>
      </c>
      <c r="E17" s="119">
        <f t="shared" si="4"/>
        <v>5365</v>
      </c>
      <c r="F17" s="120">
        <f t="shared" si="4"/>
        <v>8.0209580838323351</v>
      </c>
      <c r="G17" s="114">
        <f t="shared" si="4"/>
        <v>9.0235778443113794</v>
      </c>
      <c r="H17" s="114">
        <f t="shared" si="4"/>
        <v>1564.8952095808384</v>
      </c>
    </row>
    <row r="18" spans="1:8" ht="15" customHeight="1">
      <c r="A18" s="22"/>
      <c r="B18" s="29"/>
      <c r="C18" s="22"/>
      <c r="D18" s="28"/>
      <c r="E18" s="118"/>
      <c r="F18" s="28"/>
      <c r="G18" s="22"/>
      <c r="H18" s="22"/>
    </row>
    <row r="19" spans="1:8" ht="15" customHeight="1">
      <c r="A19" s="22"/>
      <c r="B19" s="22"/>
      <c r="C19" s="22"/>
      <c r="D19" s="22"/>
      <c r="E19" s="22"/>
      <c r="F19" s="22"/>
      <c r="G19" s="22"/>
      <c r="H19" s="22"/>
    </row>
    <row r="21" spans="1:8" ht="15.75" customHeight="1">
      <c r="A21" s="22"/>
      <c r="B21" s="22"/>
      <c r="C21" s="22"/>
      <c r="D21" s="22"/>
      <c r="E21" s="22"/>
      <c r="F21" s="22"/>
      <c r="G21" s="22"/>
      <c r="H21" s="22"/>
    </row>
    <row r="22" spans="1:8" ht="15.75" customHeight="1">
      <c r="A22" s="22"/>
      <c r="B22" s="22"/>
      <c r="C22" s="22"/>
      <c r="D22" s="22"/>
      <c r="E22" s="22"/>
      <c r="F22" s="22"/>
      <c r="G22" s="22"/>
      <c r="H22" s="22"/>
    </row>
    <row r="23" spans="1:8" ht="15.75" customHeight="1">
      <c r="A23" s="22"/>
      <c r="B23" s="22"/>
      <c r="C23" s="22"/>
      <c r="D23" s="22"/>
      <c r="E23" s="22"/>
      <c r="F23" s="22"/>
      <c r="G23" s="22"/>
      <c r="H23" s="22"/>
    </row>
    <row r="24" spans="1:8" ht="15.75" customHeight="1">
      <c r="A24" s="22"/>
      <c r="B24" s="22"/>
      <c r="C24" s="22"/>
      <c r="D24" s="22"/>
      <c r="E24" s="22"/>
      <c r="F24" s="22"/>
      <c r="G24" s="22"/>
      <c r="H24" s="22"/>
    </row>
    <row r="25" spans="1:8" ht="15.75" customHeight="1">
      <c r="A25" s="22"/>
      <c r="B25" s="22"/>
      <c r="C25" s="22"/>
      <c r="D25" s="22"/>
      <c r="E25" s="22"/>
      <c r="F25" s="22"/>
      <c r="G25" s="22"/>
      <c r="H25" s="22"/>
    </row>
    <row r="26" spans="1:8" ht="15.75" customHeight="1">
      <c r="A26" s="22"/>
      <c r="B26" s="22"/>
      <c r="C26" s="22"/>
      <c r="D26" s="22"/>
      <c r="E26" s="22"/>
      <c r="F26" s="22"/>
      <c r="G26" s="22"/>
      <c r="H26" s="22"/>
    </row>
    <row r="27" spans="1:8" ht="15.75" customHeight="1">
      <c r="A27" s="22"/>
      <c r="B27" s="22"/>
      <c r="C27" s="22"/>
      <c r="D27" s="22"/>
      <c r="E27" s="22"/>
      <c r="F27" s="22"/>
      <c r="G27" s="22"/>
      <c r="H27" s="22"/>
    </row>
    <row r="28" spans="1:8" ht="15.75" customHeight="1">
      <c r="A28" s="22"/>
      <c r="B28" s="22"/>
      <c r="C28" s="22"/>
      <c r="D28" s="22"/>
      <c r="E28" s="22"/>
      <c r="F28" s="22"/>
      <c r="G28" s="22"/>
      <c r="H28" s="22"/>
    </row>
    <row r="29" spans="1:8" ht="15.75" customHeight="1">
      <c r="A29" s="22"/>
      <c r="B29" s="22"/>
      <c r="C29" s="22"/>
      <c r="D29" s="22"/>
      <c r="E29" s="22"/>
      <c r="F29" s="22"/>
      <c r="G29" s="22"/>
      <c r="H29" s="22"/>
    </row>
    <row r="30" spans="1:8" ht="15.75" customHeight="1">
      <c r="A30" s="22"/>
      <c r="B30" s="22"/>
      <c r="C30" s="22"/>
      <c r="D30" s="22"/>
      <c r="E30" s="22"/>
      <c r="F30" s="22"/>
      <c r="G30" s="22"/>
      <c r="H30" s="22"/>
    </row>
    <row r="31" spans="1:8" ht="15.75" customHeight="1">
      <c r="A31" s="22"/>
      <c r="B31" s="22"/>
      <c r="C31" s="22"/>
      <c r="D31" s="22"/>
      <c r="E31" s="22"/>
      <c r="F31" s="22"/>
      <c r="G31" s="22"/>
      <c r="H31" s="22"/>
    </row>
    <row r="32" spans="1:8" ht="15.75" customHeight="1">
      <c r="A32" s="22"/>
      <c r="B32" s="22"/>
      <c r="C32" s="22"/>
      <c r="D32" s="22"/>
      <c r="E32" s="22"/>
      <c r="F32" s="22"/>
      <c r="G32" s="22"/>
      <c r="H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C4:E4"/>
    <mergeCell ref="F4:H4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/>
  <cp:revision/>
  <dcterms:created xsi:type="dcterms:W3CDTF">2026-03-10T13:26:36Z</dcterms:created>
  <dcterms:modified xsi:type="dcterms:W3CDTF">2026-03-13T13:40:44Z</dcterms:modified>
  <cp:category/>
  <cp:contentStatus/>
</cp:coreProperties>
</file>